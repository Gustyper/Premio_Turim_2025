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gubia\OneDrive\Área de Trabalho\"/>
    </mc:Choice>
  </mc:AlternateContent>
  <xr:revisionPtr revIDLastSave="0" documentId="13_ncr:1_{E3BE2FAF-7FA9-4B04-BBA3-ADCCEB77A6B1}" xr6:coauthVersionLast="47" xr6:coauthVersionMax="47" xr10:uidLastSave="{00000000-0000-0000-0000-000000000000}"/>
  <bookViews>
    <workbookView xWindow="-108" yWindow="-108" windowWidth="23256" windowHeight="12456" xr2:uid="{C962611C-21E0-4D9E-ABB1-B07498467C03}"/>
  </bookViews>
  <sheets>
    <sheet name="Capa" sheetId="7" r:id="rId1"/>
    <sheet name="1. Dados Históricos" sheetId="1" r:id="rId2"/>
    <sheet name="2. Calculo de Herança" sheetId="5" r:id="rId3"/>
    <sheet name="3. Backtest" sheetId="6" r:id="rId4"/>
  </sheets>
  <definedNames>
    <definedName name="solver_adj" localSheetId="1" hidden="1">'1. Dados Históricos'!$Z$34:$AB$34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lhs1" localSheetId="1" hidden="1">'1. Dados Históricos'!$AA$34</definedName>
    <definedName name="solver_lhs2" localSheetId="1" hidden="1">'1. Dados Históricos'!$AA$34</definedName>
    <definedName name="solver_lhs3" localSheetId="1" hidden="1">'1. Dados Históricos'!$AB$34</definedName>
    <definedName name="solver_lhs4" localSheetId="1" hidden="1">'1. Dados Históricos'!$AC$34</definedName>
    <definedName name="solver_lhs5" localSheetId="1" hidden="1">'1. Dados Históricos'!$AE$37</definedName>
    <definedName name="solver_lhs6" localSheetId="1" hidden="1">'1. Dados Históricos'!$Z$34</definedName>
    <definedName name="solver_lhs7" localSheetId="1" hidden="1">'1. Dados Históricos'!$Z$34</definedName>
    <definedName name="solver_lhs8" localSheetId="1" hidden="1">'1. Dados Históricos'!$Z$34</definedName>
    <definedName name="solver_lhs9" localSheetId="1" hidden="1">'1. Dados Históricos'!$Z$23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7</definedName>
    <definedName name="solver_nwt" localSheetId="1" hidden="1">1</definedName>
    <definedName name="solver_opt" localSheetId="1" hidden="1">'1. Dados Históricos'!$AD$34</definedName>
    <definedName name="solver_pre" localSheetId="1" hidden="1">0.000001</definedName>
    <definedName name="solver_rbv" localSheetId="1" hidden="1">1</definedName>
    <definedName name="solver_rel1" localSheetId="1" hidden="1">1</definedName>
    <definedName name="solver_rel2" localSheetId="1" hidden="1">3</definedName>
    <definedName name="solver_rel3" localSheetId="1" hidden="1">1</definedName>
    <definedName name="solver_rel4" localSheetId="1" hidden="1">2</definedName>
    <definedName name="solver_rel5" localSheetId="1" hidden="1">3</definedName>
    <definedName name="solver_rel6" localSheetId="1" hidden="1">1</definedName>
    <definedName name="solver_rel7" localSheetId="1" hidden="1">3</definedName>
    <definedName name="solver_rel8" localSheetId="1" hidden="1">3</definedName>
    <definedName name="solver_rel9" localSheetId="1" hidden="1">3</definedName>
    <definedName name="solver_rhs1" localSheetId="1" hidden="1">1</definedName>
    <definedName name="solver_rhs2" localSheetId="1" hidden="1">'1. Dados Históricos'!$AB$40</definedName>
    <definedName name="solver_rhs3" localSheetId="1" hidden="1">1</definedName>
    <definedName name="solver_rhs4" localSheetId="1" hidden="1">1</definedName>
    <definedName name="solver_rhs5" localSheetId="1" hidden="1">'1. Dados Históricos'!$AB$41</definedName>
    <definedName name="solver_rhs6" localSheetId="1" hidden="1">1</definedName>
    <definedName name="solver_rhs7" localSheetId="1" hidden="1">0</definedName>
    <definedName name="solver_rhs8" localSheetId="1" hidden="1">0</definedName>
    <definedName name="solver_rhs9" localSheetId="1" hidden="1">0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2</definedName>
    <definedName name="solver_val" localSheetId="1" hidden="1">0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38" i="1" l="1"/>
  <c r="AB41" i="1" s="1"/>
  <c r="I4" i="1"/>
  <c r="I27" i="1" s="1"/>
  <c r="H27" i="1"/>
  <c r="G27" i="1"/>
  <c r="I26" i="1"/>
  <c r="H26" i="1"/>
  <c r="G26" i="1"/>
  <c r="I25" i="1"/>
  <c r="H25" i="1"/>
  <c r="G25" i="1"/>
  <c r="A47" i="6" a="1"/>
  <c r="A47" i="6" s="1"/>
  <c r="B18" i="6"/>
  <c r="B15" i="6"/>
  <c r="B11" i="6"/>
  <c r="M7" i="6"/>
  <c r="M6" i="6"/>
  <c r="M5" i="6"/>
  <c r="Z22" i="5"/>
  <c r="AA22" i="5" s="1"/>
  <c r="Z23" i="5"/>
  <c r="AA23" i="5" s="1"/>
  <c r="Z24" i="5"/>
  <c r="AA24" i="5" s="1"/>
  <c r="Z25" i="5"/>
  <c r="AA25" i="5" s="1"/>
  <c r="Z26" i="5"/>
  <c r="AA26" i="5" s="1"/>
  <c r="Z27" i="5"/>
  <c r="AA27" i="5" s="1"/>
  <c r="Z28" i="5"/>
  <c r="AA28" i="5" s="1"/>
  <c r="Z29" i="5"/>
  <c r="AA29" i="5" s="1"/>
  <c r="Z30" i="5"/>
  <c r="AA30" i="5" s="1"/>
  <c r="Z31" i="5"/>
  <c r="AA31" i="5" s="1"/>
  <c r="Z32" i="5"/>
  <c r="AA32" i="5" s="1"/>
  <c r="Z33" i="5"/>
  <c r="AA33" i="5" s="1"/>
  <c r="Z34" i="5"/>
  <c r="AA34" i="5" s="1"/>
  <c r="Z35" i="5"/>
  <c r="AA35" i="5" s="1"/>
  <c r="Z36" i="5"/>
  <c r="AA36" i="5" s="1"/>
  <c r="Z37" i="5"/>
  <c r="AA37" i="5"/>
  <c r="Z38" i="5"/>
  <c r="AA38" i="5" s="1"/>
  <c r="Z39" i="5"/>
  <c r="AA39" i="5" s="1"/>
  <c r="Z40" i="5"/>
  <c r="AA40" i="5" s="1"/>
  <c r="Z41" i="5"/>
  <c r="AA41" i="5" s="1"/>
  <c r="Z42" i="5"/>
  <c r="AA42" i="5" s="1"/>
  <c r="Z43" i="5"/>
  <c r="AA43" i="5" s="1"/>
  <c r="Z44" i="5"/>
  <c r="AA44" i="5" s="1"/>
  <c r="Z45" i="5"/>
  <c r="AA45" i="5" s="1"/>
  <c r="Z46" i="5"/>
  <c r="AA46" i="5" s="1"/>
  <c r="Z47" i="5"/>
  <c r="AA47" i="5" s="1"/>
  <c r="Z48" i="5"/>
  <c r="AA48" i="5" s="1"/>
  <c r="Z49" i="5"/>
  <c r="AA49" i="5" s="1"/>
  <c r="Z50" i="5"/>
  <c r="AA50" i="5" s="1"/>
  <c r="Z51" i="5"/>
  <c r="AA51" i="5" s="1"/>
  <c r="Z52" i="5"/>
  <c r="AA52" i="5" s="1"/>
  <c r="Z53" i="5"/>
  <c r="AA53" i="5" s="1"/>
  <c r="Z54" i="5"/>
  <c r="AA54" i="5" s="1"/>
  <c r="Z55" i="5"/>
  <c r="AA55" i="5"/>
  <c r="Z56" i="5"/>
  <c r="AA56" i="5" s="1"/>
  <c r="Z57" i="5"/>
  <c r="AA57" i="5" s="1"/>
  <c r="Z58" i="5"/>
  <c r="AA58" i="5" s="1"/>
  <c r="Z59" i="5"/>
  <c r="AA59" i="5" s="1"/>
  <c r="Z60" i="5"/>
  <c r="AA60" i="5" s="1"/>
  <c r="Z61" i="5"/>
  <c r="AA61" i="5" s="1"/>
  <c r="Z62" i="5"/>
  <c r="AA62" i="5"/>
  <c r="Z63" i="5"/>
  <c r="AA63" i="5" s="1"/>
  <c r="Z64" i="5"/>
  <c r="AA64" i="5" s="1"/>
  <c r="Z65" i="5"/>
  <c r="AA65" i="5" s="1"/>
  <c r="Z66" i="5"/>
  <c r="AA66" i="5"/>
  <c r="Z67" i="5"/>
  <c r="AA67" i="5" s="1"/>
  <c r="Z68" i="5"/>
  <c r="AA68" i="5" s="1"/>
  <c r="Z69" i="5"/>
  <c r="AA69" i="5" s="1"/>
  <c r="Z70" i="5"/>
  <c r="AA70" i="5"/>
  <c r="Z71" i="5"/>
  <c r="AA71" i="5" s="1"/>
  <c r="Z72" i="5"/>
  <c r="AA72" i="5"/>
  <c r="Z73" i="5"/>
  <c r="AA73" i="5" s="1"/>
  <c r="Z74" i="5"/>
  <c r="AA74" i="5"/>
  <c r="Z75" i="5"/>
  <c r="AA75" i="5" s="1"/>
  <c r="Z76" i="5"/>
  <c r="AA76" i="5" s="1"/>
  <c r="Z77" i="5"/>
  <c r="AA77" i="5" s="1"/>
  <c r="Z78" i="5"/>
  <c r="AA78" i="5"/>
  <c r="Z79" i="5"/>
  <c r="AA79" i="5" s="1"/>
  <c r="Z80" i="5"/>
  <c r="AA80" i="5" s="1"/>
  <c r="Z81" i="5"/>
  <c r="AA81" i="5" s="1"/>
  <c r="Z82" i="5"/>
  <c r="AA82" i="5" s="1"/>
  <c r="Z83" i="5"/>
  <c r="AA83" i="5" s="1"/>
  <c r="Z84" i="5"/>
  <c r="AA84" i="5"/>
  <c r="Z85" i="5"/>
  <c r="AA85" i="5" s="1"/>
  <c r="Z86" i="5"/>
  <c r="AA86" i="5"/>
  <c r="Z87" i="5"/>
  <c r="AA87" i="5" s="1"/>
  <c r="Z88" i="5"/>
  <c r="AA88" i="5" s="1"/>
  <c r="Z89" i="5"/>
  <c r="AA89" i="5" s="1"/>
  <c r="Z90" i="5"/>
  <c r="AA90" i="5" s="1"/>
  <c r="A21" i="5" a="1"/>
  <c r="A21" i="5" s="1"/>
  <c r="G12" i="1"/>
  <c r="G11" i="1"/>
  <c r="G10" i="1"/>
  <c r="B15" i="5"/>
  <c r="H7" i="5"/>
  <c r="H6" i="5"/>
  <c r="H5" i="5"/>
  <c r="AH23" i="1"/>
  <c r="G7" i="5" s="1"/>
  <c r="AI23" i="1"/>
  <c r="G6" i="5" s="1"/>
  <c r="AG23" i="1"/>
  <c r="G5" i="5" s="1"/>
  <c r="AG12" i="1"/>
  <c r="K5" i="6" s="1"/>
  <c r="AH12" i="1"/>
  <c r="F7" i="5" s="1"/>
  <c r="AI12" i="1"/>
  <c r="F6" i="5" s="1"/>
  <c r="AJ4" i="1"/>
  <c r="AC34" i="1"/>
  <c r="AB26" i="1"/>
  <c r="AB28" i="1" s="1"/>
  <c r="AC23" i="1"/>
  <c r="AB15" i="1"/>
  <c r="AB17" i="1" s="1"/>
  <c r="AC12" i="1"/>
  <c r="AC4" i="1"/>
  <c r="H7" i="1"/>
  <c r="I7" i="1"/>
  <c r="G7" i="1"/>
  <c r="N233" i="1"/>
  <c r="L231" i="1" a="1"/>
  <c r="L231" i="1" s="1"/>
  <c r="L228" i="1" a="1"/>
  <c r="L228" i="1" s="1"/>
  <c r="L224" i="1" a="1"/>
  <c r="L224" i="1" s="1"/>
  <c r="L219" i="1" a="1"/>
  <c r="L219" i="1" s="1"/>
  <c r="L213" i="1" a="1"/>
  <c r="L213" i="1" s="1"/>
  <c r="L206" i="1" a="1"/>
  <c r="L206" i="1" s="1"/>
  <c r="M206" i="1" s="1"/>
  <c r="L198" i="1" a="1"/>
  <c r="L198" i="1" s="1"/>
  <c r="L189" i="1" a="1"/>
  <c r="L189" i="1" s="1"/>
  <c r="M189" i="1" s="1"/>
  <c r="L179" i="1" a="1"/>
  <c r="L179" i="1" s="1"/>
  <c r="M177" i="1"/>
  <c r="L168" i="1" a="1"/>
  <c r="L168" i="1" s="1"/>
  <c r="L156" i="1" a="1"/>
  <c r="L156" i="1" s="1"/>
  <c r="L143" i="1" a="1"/>
  <c r="L143" i="1" s="1"/>
  <c r="L129" i="1" a="1"/>
  <c r="L129" i="1" s="1"/>
  <c r="L114" i="1" a="1"/>
  <c r="L114" i="1" s="1"/>
  <c r="L98" i="1" a="1"/>
  <c r="L98" i="1" s="1"/>
  <c r="L81" i="1" a="1"/>
  <c r="L81" i="1" s="1"/>
  <c r="L63" i="1" a="1"/>
  <c r="L63" i="1" s="1"/>
  <c r="L44" i="1" a="1"/>
  <c r="L44" i="1" s="1"/>
  <c r="L24" i="1" a="1"/>
  <c r="L24" i="1" s="1"/>
  <c r="L3" i="1" a="1"/>
  <c r="L3" i="1" s="1"/>
  <c r="H5" i="1"/>
  <c r="I5" i="1"/>
  <c r="G5" i="1"/>
  <c r="H4" i="1"/>
  <c r="G4" i="1"/>
  <c r="B11" i="5"/>
  <c r="B18" i="5"/>
  <c r="L5" i="5" s="1" a="1"/>
  <c r="L5" i="5" s="1"/>
  <c r="L6" i="6" l="1"/>
  <c r="L5" i="6"/>
  <c r="B3" i="6"/>
  <c r="B4" i="6" s="1"/>
  <c r="K6" i="6"/>
  <c r="K7" i="6"/>
  <c r="L7" i="6"/>
  <c r="B21" i="5"/>
  <c r="S21" i="5" s="1"/>
  <c r="Z21" i="5"/>
  <c r="AA21" i="5" s="1"/>
  <c r="F5" i="5"/>
  <c r="B3" i="5" s="1"/>
  <c r="M197" i="1"/>
  <c r="M216" i="1"/>
  <c r="M43" i="1"/>
  <c r="M109" i="1"/>
  <c r="P109" i="1" s="1"/>
  <c r="M138" i="1"/>
  <c r="M172" i="1"/>
  <c r="AL4" i="1"/>
  <c r="AK4" i="1"/>
  <c r="AD23" i="1"/>
  <c r="AD34" i="1"/>
  <c r="M19" i="1"/>
  <c r="P19" i="1" s="1"/>
  <c r="M56" i="1"/>
  <c r="N56" i="1" s="1"/>
  <c r="M75" i="1"/>
  <c r="P75" i="1" s="1"/>
  <c r="M97" i="1"/>
  <c r="O97" i="1" s="1"/>
  <c r="M108" i="1"/>
  <c r="N108" i="1" s="1"/>
  <c r="M133" i="1"/>
  <c r="O133" i="1" s="1"/>
  <c r="M170" i="1"/>
  <c r="P170" i="1" s="1"/>
  <c r="AE23" i="1"/>
  <c r="AE25" i="1" s="1"/>
  <c r="AE34" i="1"/>
  <c r="AE37" i="1" s="1"/>
  <c r="M13" i="1"/>
  <c r="P13" i="1" s="1"/>
  <c r="M52" i="1"/>
  <c r="O52" i="1" s="1"/>
  <c r="M71" i="1"/>
  <c r="N71" i="1" s="1"/>
  <c r="M89" i="1"/>
  <c r="P89" i="1" s="1"/>
  <c r="M104" i="1"/>
  <c r="O104" i="1" s="1"/>
  <c r="M130" i="1"/>
  <c r="P130" i="1" s="1"/>
  <c r="M8" i="1"/>
  <c r="P8" i="1" s="1"/>
  <c r="M42" i="1"/>
  <c r="P42" i="1" s="1"/>
  <c r="M48" i="1"/>
  <c r="P48" i="1" s="1"/>
  <c r="M79" i="1"/>
  <c r="N79" i="1" s="1"/>
  <c r="M113" i="1"/>
  <c r="O113" i="1" s="1"/>
  <c r="M102" i="1"/>
  <c r="N102" i="1" s="1"/>
  <c r="M141" i="1"/>
  <c r="P141" i="1" s="1"/>
  <c r="M176" i="1"/>
  <c r="N176" i="1" s="1"/>
  <c r="M205" i="1"/>
  <c r="O205" i="1" s="1"/>
  <c r="B5" i="5"/>
  <c r="AL23" i="1"/>
  <c r="AL12" i="1"/>
  <c r="AJ23" i="1"/>
  <c r="AK23" i="1"/>
  <c r="AJ12" i="1"/>
  <c r="AK12" i="1"/>
  <c r="M121" i="1"/>
  <c r="O121" i="1" s="1"/>
  <c r="AD4" i="1"/>
  <c r="M39" i="1"/>
  <c r="O39" i="1" s="1"/>
  <c r="M96" i="1"/>
  <c r="P96" i="1" s="1"/>
  <c r="M88" i="1"/>
  <c r="P88" i="1" s="1"/>
  <c r="M112" i="1"/>
  <c r="O112" i="1" s="1"/>
  <c r="M106" i="1"/>
  <c r="O106" i="1" s="1"/>
  <c r="M101" i="1"/>
  <c r="O101" i="1" s="1"/>
  <c r="M119" i="1"/>
  <c r="O119" i="1" s="1"/>
  <c r="M137" i="1"/>
  <c r="O137" i="1" s="1"/>
  <c r="M174" i="1"/>
  <c r="O174" i="1" s="1"/>
  <c r="M169" i="1"/>
  <c r="O169" i="1" s="1"/>
  <c r="M196" i="1"/>
  <c r="P196" i="1" s="1"/>
  <c r="M210" i="1"/>
  <c r="N210" i="1" s="1"/>
  <c r="M78" i="1"/>
  <c r="P78" i="1" s="1"/>
  <c r="M93" i="1"/>
  <c r="O93" i="1" s="1"/>
  <c r="M85" i="1"/>
  <c r="N85" i="1" s="1"/>
  <c r="M110" i="1"/>
  <c r="P110" i="1" s="1"/>
  <c r="M105" i="1"/>
  <c r="P105" i="1" s="1"/>
  <c r="M100" i="1"/>
  <c r="O100" i="1" s="1"/>
  <c r="M115" i="1"/>
  <c r="P115" i="1" s="1"/>
  <c r="M142" i="1"/>
  <c r="P142" i="1" s="1"/>
  <c r="M134" i="1"/>
  <c r="P134" i="1" s="1"/>
  <c r="M164" i="1"/>
  <c r="O164" i="1" s="1"/>
  <c r="M178" i="1"/>
  <c r="O178" i="1" s="1"/>
  <c r="M173" i="1"/>
  <c r="P173" i="1" s="1"/>
  <c r="M193" i="1"/>
  <c r="N193" i="1" s="1"/>
  <c r="M201" i="1"/>
  <c r="O201" i="1" s="1"/>
  <c r="M223" i="1"/>
  <c r="P223" i="1" s="1"/>
  <c r="M92" i="1"/>
  <c r="O92" i="1" s="1"/>
  <c r="M84" i="1"/>
  <c r="P84" i="1" s="1"/>
  <c r="M125" i="1"/>
  <c r="O125" i="1" s="1"/>
  <c r="M160" i="1"/>
  <c r="N160" i="1" s="1"/>
  <c r="M192" i="1"/>
  <c r="O192" i="1" s="1"/>
  <c r="AE4" i="1"/>
  <c r="M152" i="1"/>
  <c r="P152" i="1" s="1"/>
  <c r="M148" i="1"/>
  <c r="P148" i="1" s="1"/>
  <c r="M144" i="1"/>
  <c r="N144" i="1" s="1"/>
  <c r="M185" i="1"/>
  <c r="N185" i="1" s="1"/>
  <c r="M181" i="1"/>
  <c r="O181" i="1" s="1"/>
  <c r="M202" i="1"/>
  <c r="O202" i="1" s="1"/>
  <c r="M209" i="1"/>
  <c r="O209" i="1" s="1"/>
  <c r="M215" i="1"/>
  <c r="P215" i="1" s="1"/>
  <c r="M222" i="1"/>
  <c r="O222" i="1" s="1"/>
  <c r="M227" i="1"/>
  <c r="N227" i="1" s="1"/>
  <c r="M230" i="1"/>
  <c r="O230" i="1" s="1"/>
  <c r="M17" i="1"/>
  <c r="O17" i="1" s="1"/>
  <c r="M12" i="1"/>
  <c r="N12" i="1" s="1"/>
  <c r="M7" i="1"/>
  <c r="N7" i="1" s="1"/>
  <c r="M59" i="1"/>
  <c r="O59" i="1" s="1"/>
  <c r="M67" i="1"/>
  <c r="N67" i="1" s="1"/>
  <c r="M77" i="1"/>
  <c r="O77" i="1" s="1"/>
  <c r="M95" i="1"/>
  <c r="P95" i="1" s="1"/>
  <c r="M91" i="1"/>
  <c r="O91" i="1" s="1"/>
  <c r="M87" i="1"/>
  <c r="N87" i="1" s="1"/>
  <c r="M83" i="1"/>
  <c r="P83" i="1" s="1"/>
  <c r="M111" i="1"/>
  <c r="N111" i="1" s="1"/>
  <c r="M107" i="1"/>
  <c r="O107" i="1" s="1"/>
  <c r="M103" i="1"/>
  <c r="N103" i="1" s="1"/>
  <c r="M99" i="1"/>
  <c r="P99" i="1" s="1"/>
  <c r="M118" i="1"/>
  <c r="P118" i="1" s="1"/>
  <c r="M128" i="1"/>
  <c r="O128" i="1" s="1"/>
  <c r="M124" i="1"/>
  <c r="N124" i="1" s="1"/>
  <c r="M120" i="1"/>
  <c r="P120" i="1" s="1"/>
  <c r="M140" i="1"/>
  <c r="P140" i="1" s="1"/>
  <c r="M136" i="1"/>
  <c r="P136" i="1" s="1"/>
  <c r="M132" i="1"/>
  <c r="N132" i="1" s="1"/>
  <c r="M155" i="1"/>
  <c r="N155" i="1" s="1"/>
  <c r="M151" i="1"/>
  <c r="N151" i="1" s="1"/>
  <c r="M147" i="1"/>
  <c r="N147" i="1" s="1"/>
  <c r="M167" i="1"/>
  <c r="N167" i="1" s="1"/>
  <c r="M163" i="1"/>
  <c r="P163" i="1" s="1"/>
  <c r="M159" i="1"/>
  <c r="P159" i="1" s="1"/>
  <c r="M175" i="1"/>
  <c r="P175" i="1" s="1"/>
  <c r="M171" i="1"/>
  <c r="O171" i="1" s="1"/>
  <c r="M188" i="1"/>
  <c r="P188" i="1" s="1"/>
  <c r="M184" i="1"/>
  <c r="N184" i="1" s="1"/>
  <c r="M180" i="1"/>
  <c r="O180" i="1" s="1"/>
  <c r="M195" i="1"/>
  <c r="N195" i="1" s="1"/>
  <c r="M191" i="1"/>
  <c r="N191" i="1" s="1"/>
  <c r="M199" i="1"/>
  <c r="N199" i="1" s="1"/>
  <c r="M203" i="1"/>
  <c r="N203" i="1" s="1"/>
  <c r="M212" i="1"/>
  <c r="O212" i="1" s="1"/>
  <c r="M208" i="1"/>
  <c r="N208" i="1" s="1"/>
  <c r="M218" i="1"/>
  <c r="N218" i="1" s="1"/>
  <c r="M214" i="1"/>
  <c r="P214" i="1" s="1"/>
  <c r="M221" i="1"/>
  <c r="P221" i="1" s="1"/>
  <c r="M226" i="1"/>
  <c r="O226" i="1" s="1"/>
  <c r="M229" i="1"/>
  <c r="O229" i="1" s="1"/>
  <c r="O233" i="1"/>
  <c r="M21" i="1"/>
  <c r="O21" i="1" s="1"/>
  <c r="M16" i="1"/>
  <c r="O16" i="1" s="1"/>
  <c r="M11" i="1"/>
  <c r="N11" i="1" s="1"/>
  <c r="M5" i="1"/>
  <c r="N5" i="1" s="1"/>
  <c r="M80" i="1"/>
  <c r="P80" i="1" s="1"/>
  <c r="M94" i="1"/>
  <c r="P94" i="1" s="1"/>
  <c r="M90" i="1"/>
  <c r="O90" i="1" s="1"/>
  <c r="M86" i="1"/>
  <c r="O86" i="1" s="1"/>
  <c r="M82" i="1"/>
  <c r="O82" i="1" s="1"/>
  <c r="M117" i="1"/>
  <c r="O117" i="1" s="1"/>
  <c r="M127" i="1"/>
  <c r="N127" i="1" s="1"/>
  <c r="M123" i="1"/>
  <c r="N123" i="1" s="1"/>
  <c r="M139" i="1"/>
  <c r="N139" i="1" s="1"/>
  <c r="M135" i="1"/>
  <c r="N135" i="1" s="1"/>
  <c r="M131" i="1"/>
  <c r="N131" i="1" s="1"/>
  <c r="M154" i="1"/>
  <c r="P154" i="1" s="1"/>
  <c r="M150" i="1"/>
  <c r="N150" i="1" s="1"/>
  <c r="M146" i="1"/>
  <c r="N146" i="1" s="1"/>
  <c r="M166" i="1"/>
  <c r="P166" i="1" s="1"/>
  <c r="M162" i="1"/>
  <c r="O162" i="1" s="1"/>
  <c r="M158" i="1"/>
  <c r="N158" i="1" s="1"/>
  <c r="M187" i="1"/>
  <c r="N187" i="1" s="1"/>
  <c r="M183" i="1"/>
  <c r="N183" i="1" s="1"/>
  <c r="M194" i="1"/>
  <c r="N194" i="1" s="1"/>
  <c r="M190" i="1"/>
  <c r="N190" i="1" s="1"/>
  <c r="M200" i="1"/>
  <c r="P200" i="1" s="1"/>
  <c r="M204" i="1"/>
  <c r="O204" i="1" s="1"/>
  <c r="M211" i="1"/>
  <c r="N211" i="1" s="1"/>
  <c r="M207" i="1"/>
  <c r="P207" i="1" s="1"/>
  <c r="M217" i="1"/>
  <c r="O217" i="1" s="1"/>
  <c r="M220" i="1"/>
  <c r="O220" i="1" s="1"/>
  <c r="M225" i="1"/>
  <c r="N225" i="1" s="1"/>
  <c r="AD12" i="1"/>
  <c r="M20" i="1"/>
  <c r="N20" i="1" s="1"/>
  <c r="M15" i="1"/>
  <c r="P15" i="1" s="1"/>
  <c r="M9" i="1"/>
  <c r="O9" i="1" s="1"/>
  <c r="M4" i="1"/>
  <c r="N4" i="1" s="1"/>
  <c r="M116" i="1"/>
  <c r="O116" i="1" s="1"/>
  <c r="M126" i="1"/>
  <c r="O126" i="1" s="1"/>
  <c r="M122" i="1"/>
  <c r="P122" i="1" s="1"/>
  <c r="M153" i="1"/>
  <c r="O153" i="1" s="1"/>
  <c r="M149" i="1"/>
  <c r="P149" i="1" s="1"/>
  <c r="M145" i="1"/>
  <c r="N145" i="1" s="1"/>
  <c r="M165" i="1"/>
  <c r="O165" i="1" s="1"/>
  <c r="M161" i="1"/>
  <c r="N161" i="1" s="1"/>
  <c r="M157" i="1"/>
  <c r="P157" i="1" s="1"/>
  <c r="M186" i="1"/>
  <c r="N186" i="1" s="1"/>
  <c r="M182" i="1"/>
  <c r="N182" i="1" s="1"/>
  <c r="M232" i="1"/>
  <c r="P232" i="1" s="1"/>
  <c r="AE12" i="1"/>
  <c r="AE14" i="1" s="1"/>
  <c r="P172" i="1"/>
  <c r="P233" i="1"/>
  <c r="P106" i="1"/>
  <c r="P216" i="1"/>
  <c r="P184" i="1"/>
  <c r="P180" i="1"/>
  <c r="M3" i="1"/>
  <c r="O3" i="1" s="1"/>
  <c r="M179" i="1"/>
  <c r="P179" i="1" s="1"/>
  <c r="M198" i="1"/>
  <c r="P198" i="1" s="1"/>
  <c r="M63" i="1"/>
  <c r="P63" i="1" s="1"/>
  <c r="M81" i="1"/>
  <c r="O81" i="1" s="1"/>
  <c r="M228" i="1"/>
  <c r="P228" i="1" s="1"/>
  <c r="M24" i="1"/>
  <c r="P24" i="1" s="1"/>
  <c r="M44" i="1"/>
  <c r="P44" i="1" s="1"/>
  <c r="M168" i="1"/>
  <c r="N168" i="1" s="1"/>
  <c r="O15" i="1"/>
  <c r="O42" i="1"/>
  <c r="N42" i="1"/>
  <c r="P52" i="1"/>
  <c r="N52" i="1"/>
  <c r="O197" i="1"/>
  <c r="P197" i="1"/>
  <c r="N197" i="1"/>
  <c r="M231" i="1"/>
  <c r="P231" i="1" s="1"/>
  <c r="O19" i="1"/>
  <c r="N159" i="1"/>
  <c r="P182" i="1"/>
  <c r="O182" i="1"/>
  <c r="P39" i="1"/>
  <c r="P79" i="1"/>
  <c r="O79" i="1"/>
  <c r="O89" i="1"/>
  <c r="P171" i="1"/>
  <c r="O196" i="1"/>
  <c r="N78" i="1"/>
  <c r="N88" i="1"/>
  <c r="N84" i="1"/>
  <c r="O108" i="1"/>
  <c r="P108" i="1"/>
  <c r="N119" i="1"/>
  <c r="N142" i="1"/>
  <c r="O138" i="1"/>
  <c r="P138" i="1"/>
  <c r="N138" i="1"/>
  <c r="O134" i="1"/>
  <c r="N134" i="1"/>
  <c r="N130" i="1"/>
  <c r="P158" i="1"/>
  <c r="N178" i="1"/>
  <c r="O170" i="1"/>
  <c r="P218" i="1"/>
  <c r="O214" i="1"/>
  <c r="P82" i="1"/>
  <c r="M98" i="1"/>
  <c r="N98" i="1" s="1"/>
  <c r="M143" i="1"/>
  <c r="N143" i="1" s="1"/>
  <c r="M156" i="1"/>
  <c r="N156" i="1" s="1"/>
  <c r="P193" i="1"/>
  <c r="O193" i="1"/>
  <c r="O75" i="1"/>
  <c r="O85" i="1"/>
  <c r="O206" i="1"/>
  <c r="P206" i="1"/>
  <c r="N206" i="1"/>
  <c r="M213" i="1"/>
  <c r="O213" i="1" s="1"/>
  <c r="M224" i="1"/>
  <c r="P224" i="1" s="1"/>
  <c r="N21" i="1"/>
  <c r="O11" i="1"/>
  <c r="P43" i="1"/>
  <c r="O43" i="1"/>
  <c r="N43" i="1"/>
  <c r="O67" i="1"/>
  <c r="O87" i="1"/>
  <c r="O111" i="1"/>
  <c r="M114" i="1"/>
  <c r="N114" i="1" s="1"/>
  <c r="N137" i="1"/>
  <c r="M129" i="1"/>
  <c r="O129" i="1" s="1"/>
  <c r="O149" i="1"/>
  <c r="O189" i="1"/>
  <c r="P189" i="1"/>
  <c r="N189" i="1"/>
  <c r="P204" i="1"/>
  <c r="O211" i="1"/>
  <c r="N207" i="1"/>
  <c r="M219" i="1"/>
  <c r="O219" i="1" s="1"/>
  <c r="O184" i="1"/>
  <c r="O136" i="1"/>
  <c r="P102" i="1"/>
  <c r="O102" i="1"/>
  <c r="O157" i="1"/>
  <c r="P177" i="1"/>
  <c r="O177" i="1"/>
  <c r="O173" i="1"/>
  <c r="P195" i="1"/>
  <c r="O148" i="1"/>
  <c r="O105" i="1"/>
  <c r="O127" i="1"/>
  <c r="O139" i="1"/>
  <c r="N177" i="1"/>
  <c r="N173" i="1"/>
  <c r="O216" i="1"/>
  <c r="O176" i="1"/>
  <c r="O160" i="1"/>
  <c r="N220" i="1"/>
  <c r="N216" i="1"/>
  <c r="N172" i="1"/>
  <c r="N148" i="1"/>
  <c r="O172" i="1"/>
  <c r="M51" i="1"/>
  <c r="M74" i="1"/>
  <c r="M70" i="1"/>
  <c r="M66" i="1"/>
  <c r="M41" i="1"/>
  <c r="M58" i="1"/>
  <c r="M54" i="1"/>
  <c r="M50" i="1"/>
  <c r="M46" i="1"/>
  <c r="M61" i="1"/>
  <c r="M73" i="1"/>
  <c r="M69" i="1"/>
  <c r="M65" i="1"/>
  <c r="M55" i="1"/>
  <c r="M47" i="1"/>
  <c r="M62" i="1"/>
  <c r="M40" i="1"/>
  <c r="M57" i="1"/>
  <c r="M53" i="1"/>
  <c r="M49" i="1"/>
  <c r="M45" i="1"/>
  <c r="M60" i="1"/>
  <c r="M76" i="1"/>
  <c r="M72" i="1"/>
  <c r="M68" i="1"/>
  <c r="M64" i="1"/>
  <c r="M35" i="1"/>
  <c r="M31" i="1"/>
  <c r="M27" i="1"/>
  <c r="M38" i="1"/>
  <c r="M34" i="1"/>
  <c r="M30" i="1"/>
  <c r="M26" i="1"/>
  <c r="M37" i="1"/>
  <c r="M33" i="1"/>
  <c r="M29" i="1"/>
  <c r="M25" i="1"/>
  <c r="M22" i="1"/>
  <c r="M18" i="1"/>
  <c r="M14" i="1"/>
  <c r="M10" i="1"/>
  <c r="M6" i="1"/>
  <c r="M23" i="1"/>
  <c r="M36" i="1"/>
  <c r="M32" i="1"/>
  <c r="M28" i="1"/>
  <c r="B29" i="6" l="1"/>
  <c r="B5" i="6"/>
  <c r="B6" i="6" s="1"/>
  <c r="B47" i="6"/>
  <c r="B4" i="5"/>
  <c r="C21" i="5" s="1"/>
  <c r="D21" i="5"/>
  <c r="B6" i="5"/>
  <c r="N15" i="1"/>
  <c r="P124" i="1"/>
  <c r="P90" i="1"/>
  <c r="P220" i="1"/>
  <c r="N110" i="1"/>
  <c r="O145" i="1"/>
  <c r="P137" i="1"/>
  <c r="P162" i="1"/>
  <c r="P126" i="1"/>
  <c r="N112" i="1"/>
  <c r="N92" i="1"/>
  <c r="P86" i="1"/>
  <c r="P230" i="1"/>
  <c r="O110" i="1"/>
  <c r="P59" i="1"/>
  <c r="P112" i="1"/>
  <c r="P92" i="1"/>
  <c r="N175" i="1"/>
  <c r="N192" i="1"/>
  <c r="O109" i="1"/>
  <c r="P225" i="1"/>
  <c r="N136" i="1"/>
  <c r="N109" i="1"/>
  <c r="O194" i="1"/>
  <c r="P144" i="1"/>
  <c r="O56" i="1"/>
  <c r="P5" i="1"/>
  <c r="P192" i="1"/>
  <c r="O210" i="1"/>
  <c r="N24" i="1"/>
  <c r="N63" i="1"/>
  <c r="P128" i="1"/>
  <c r="AL6" i="1"/>
  <c r="O225" i="1"/>
  <c r="N106" i="1"/>
  <c r="P91" i="1"/>
  <c r="N75" i="1"/>
  <c r="N174" i="1"/>
  <c r="O154" i="1"/>
  <c r="O142" i="1"/>
  <c r="O78" i="1"/>
  <c r="O13" i="1"/>
  <c r="O48" i="1"/>
  <c r="P210" i="1"/>
  <c r="O186" i="1"/>
  <c r="N3" i="1"/>
  <c r="P3" i="1"/>
  <c r="O71" i="1"/>
  <c r="N113" i="1"/>
  <c r="O168" i="1"/>
  <c r="P187" i="1"/>
  <c r="N99" i="1"/>
  <c r="N97" i="1"/>
  <c r="P71" i="1"/>
  <c r="N205" i="1"/>
  <c r="P113" i="1"/>
  <c r="N170" i="1"/>
  <c r="N8" i="1"/>
  <c r="P176" i="1"/>
  <c r="O132" i="1"/>
  <c r="N215" i="1"/>
  <c r="O103" i="1"/>
  <c r="P97" i="1"/>
  <c r="P174" i="1"/>
  <c r="O130" i="1"/>
  <c r="O84" i="1"/>
  <c r="N39" i="1"/>
  <c r="O8" i="1"/>
  <c r="P205" i="1"/>
  <c r="N201" i="1"/>
  <c r="P132" i="1"/>
  <c r="O144" i="1"/>
  <c r="N105" i="1"/>
  <c r="N209" i="1"/>
  <c r="P194" i="1"/>
  <c r="P209" i="1"/>
  <c r="P165" i="1"/>
  <c r="O221" i="1"/>
  <c r="P211" i="1"/>
  <c r="N133" i="1"/>
  <c r="O141" i="1"/>
  <c r="P107" i="1"/>
  <c r="P77" i="1"/>
  <c r="O5" i="1"/>
  <c r="O167" i="1"/>
  <c r="N214" i="1"/>
  <c r="O150" i="1"/>
  <c r="N104" i="1"/>
  <c r="P185" i="1"/>
  <c r="N80" i="1"/>
  <c r="N93" i="1"/>
  <c r="P212" i="1"/>
  <c r="O131" i="1"/>
  <c r="O223" i="1"/>
  <c r="N232" i="1"/>
  <c r="O151" i="1"/>
  <c r="P127" i="1"/>
  <c r="O227" i="1"/>
  <c r="P133" i="1"/>
  <c r="P111" i="1"/>
  <c r="N95" i="1"/>
  <c r="N115" i="1"/>
  <c r="O88" i="1"/>
  <c r="O7" i="1"/>
  <c r="N196" i="1"/>
  <c r="N117" i="1"/>
  <c r="O199" i="1"/>
  <c r="O183" i="1"/>
  <c r="P151" i="1"/>
  <c r="P135" i="1"/>
  <c r="P202" i="1"/>
  <c r="P208" i="1"/>
  <c r="N223" i="1"/>
  <c r="N217" i="1"/>
  <c r="N204" i="1"/>
  <c r="N153" i="1"/>
  <c r="N141" i="1"/>
  <c r="P121" i="1"/>
  <c r="O118" i="1"/>
  <c r="N83" i="1"/>
  <c r="O95" i="1"/>
  <c r="N16" i="1"/>
  <c r="P85" i="1"/>
  <c r="N90" i="1"/>
  <c r="P178" i="1"/>
  <c r="O166" i="1"/>
  <c r="N122" i="1"/>
  <c r="O115" i="1"/>
  <c r="P119" i="1"/>
  <c r="P104" i="1"/>
  <c r="N96" i="1"/>
  <c r="P7" i="1"/>
  <c r="N89" i="1"/>
  <c r="N13" i="1"/>
  <c r="N48" i="1"/>
  <c r="N19" i="1"/>
  <c r="P20" i="1"/>
  <c r="P168" i="1"/>
  <c r="P227" i="1"/>
  <c r="P131" i="1"/>
  <c r="P160" i="1"/>
  <c r="N202" i="1"/>
  <c r="N121" i="1"/>
  <c r="N118" i="1"/>
  <c r="P56" i="1"/>
  <c r="P11" i="1"/>
  <c r="O218" i="1"/>
  <c r="N166" i="1"/>
  <c r="O159" i="1"/>
  <c r="O140" i="1"/>
  <c r="N140" i="1"/>
  <c r="O232" i="1"/>
  <c r="N165" i="1"/>
  <c r="N229" i="1"/>
  <c r="P199" i="1"/>
  <c r="P183" i="1"/>
  <c r="P155" i="1"/>
  <c r="P226" i="1"/>
  <c r="O161" i="1"/>
  <c r="O146" i="1"/>
  <c r="O122" i="1"/>
  <c r="N100" i="1"/>
  <c r="O12" i="1"/>
  <c r="P181" i="1"/>
  <c r="O4" i="1"/>
  <c r="O20" i="1"/>
  <c r="P229" i="1"/>
  <c r="N120" i="1"/>
  <c r="N152" i="1"/>
  <c r="N188" i="1"/>
  <c r="P101" i="1"/>
  <c r="N101" i="1"/>
  <c r="N226" i="1"/>
  <c r="P169" i="1"/>
  <c r="P117" i="1"/>
  <c r="O120" i="1"/>
  <c r="N219" i="1"/>
  <c r="P217" i="1"/>
  <c r="O200" i="1"/>
  <c r="P145" i="1"/>
  <c r="N125" i="1"/>
  <c r="O99" i="1"/>
  <c r="O83" i="1"/>
  <c r="N77" i="1"/>
  <c r="P16" i="1"/>
  <c r="N222" i="1"/>
  <c r="N213" i="1"/>
  <c r="N163" i="1"/>
  <c r="P146" i="1"/>
  <c r="P100" i="1"/>
  <c r="O96" i="1"/>
  <c r="P12" i="1"/>
  <c r="N94" i="1"/>
  <c r="N181" i="1"/>
  <c r="P93" i="1"/>
  <c r="N231" i="1"/>
  <c r="P201" i="1"/>
  <c r="P4" i="1"/>
  <c r="N164" i="1"/>
  <c r="O208" i="1"/>
  <c r="N169" i="1"/>
  <c r="O191" i="1"/>
  <c r="N200" i="1"/>
  <c r="P125" i="1"/>
  <c r="P222" i="1"/>
  <c r="O163" i="1"/>
  <c r="N126" i="1"/>
  <c r="O94" i="1"/>
  <c r="O231" i="1"/>
  <c r="P186" i="1"/>
  <c r="P164" i="1"/>
  <c r="O188" i="1"/>
  <c r="O187" i="1"/>
  <c r="O155" i="1"/>
  <c r="O135" i="1"/>
  <c r="P191" i="1"/>
  <c r="O152" i="1"/>
  <c r="P219" i="1"/>
  <c r="P98" i="1"/>
  <c r="O215" i="1"/>
  <c r="O124" i="1"/>
  <c r="N221" i="1"/>
  <c r="O207" i="1"/>
  <c r="P103" i="1"/>
  <c r="P87" i="1"/>
  <c r="P67" i="1"/>
  <c r="P21" i="1"/>
  <c r="N17" i="1"/>
  <c r="O185" i="1"/>
  <c r="O80" i="1"/>
  <c r="N9" i="1"/>
  <c r="P116" i="1"/>
  <c r="N128" i="1"/>
  <c r="N180" i="1"/>
  <c r="N157" i="1"/>
  <c r="N230" i="1"/>
  <c r="P161" i="1"/>
  <c r="N107" i="1"/>
  <c r="N91" i="1"/>
  <c r="N59" i="1"/>
  <c r="O156" i="1"/>
  <c r="O143" i="1"/>
  <c r="N162" i="1"/>
  <c r="N154" i="1"/>
  <c r="P17" i="1"/>
  <c r="N171" i="1"/>
  <c r="O175" i="1"/>
  <c r="N86" i="1"/>
  <c r="P9" i="1"/>
  <c r="N212" i="1"/>
  <c r="P139" i="1"/>
  <c r="P167" i="1"/>
  <c r="O158" i="1"/>
  <c r="P150" i="1"/>
  <c r="O203" i="1"/>
  <c r="P190" i="1"/>
  <c r="O147" i="1"/>
  <c r="O123" i="1"/>
  <c r="N149" i="1"/>
  <c r="P153" i="1"/>
  <c r="N82" i="1"/>
  <c r="N116" i="1"/>
  <c r="P203" i="1"/>
  <c r="O190" i="1"/>
  <c r="P147" i="1"/>
  <c r="P123" i="1"/>
  <c r="O195" i="1"/>
  <c r="P156" i="1"/>
  <c r="O98" i="1"/>
  <c r="O224" i="1"/>
  <c r="P30" i="1"/>
  <c r="O30" i="1"/>
  <c r="N30" i="1"/>
  <c r="O49" i="1"/>
  <c r="P49" i="1"/>
  <c r="N49" i="1"/>
  <c r="P23" i="1"/>
  <c r="O23" i="1"/>
  <c r="N23" i="1"/>
  <c r="P18" i="1"/>
  <c r="N18" i="1"/>
  <c r="O18" i="1"/>
  <c r="O33" i="1"/>
  <c r="P33" i="1"/>
  <c r="N33" i="1"/>
  <c r="P34" i="1"/>
  <c r="O34" i="1"/>
  <c r="N34" i="1"/>
  <c r="P35" i="1"/>
  <c r="O35" i="1"/>
  <c r="N35" i="1"/>
  <c r="O76" i="1"/>
  <c r="P76" i="1"/>
  <c r="N76" i="1"/>
  <c r="O53" i="1"/>
  <c r="P53" i="1"/>
  <c r="N53" i="1"/>
  <c r="P47" i="1"/>
  <c r="O47" i="1"/>
  <c r="N47" i="1"/>
  <c r="O73" i="1"/>
  <c r="P73" i="1"/>
  <c r="N73" i="1"/>
  <c r="P54" i="1"/>
  <c r="O54" i="1"/>
  <c r="N54" i="1"/>
  <c r="P70" i="1"/>
  <c r="O70" i="1"/>
  <c r="N70" i="1"/>
  <c r="P213" i="1"/>
  <c r="P129" i="1"/>
  <c r="P114" i="1"/>
  <c r="P143" i="1"/>
  <c r="N224" i="1"/>
  <c r="N44" i="1"/>
  <c r="O24" i="1"/>
  <c r="O228" i="1"/>
  <c r="N81" i="1"/>
  <c r="O63" i="1"/>
  <c r="N198" i="1"/>
  <c r="N179" i="1"/>
  <c r="N36" i="1"/>
  <c r="P36" i="1"/>
  <c r="O36" i="1"/>
  <c r="O29" i="1"/>
  <c r="P29" i="1"/>
  <c r="N29" i="1"/>
  <c r="P72" i="1"/>
  <c r="O72" i="1"/>
  <c r="N72" i="1"/>
  <c r="P62" i="1"/>
  <c r="O62" i="1"/>
  <c r="N62" i="1"/>
  <c r="P50" i="1"/>
  <c r="O50" i="1"/>
  <c r="N50" i="1"/>
  <c r="P66" i="1"/>
  <c r="O66" i="1"/>
  <c r="N66" i="1"/>
  <c r="N129" i="1"/>
  <c r="P28" i="1"/>
  <c r="O28" i="1"/>
  <c r="N28" i="1"/>
  <c r="P6" i="1"/>
  <c r="O6" i="1"/>
  <c r="N6" i="1"/>
  <c r="P22" i="1"/>
  <c r="O22" i="1"/>
  <c r="N22" i="1"/>
  <c r="O37" i="1"/>
  <c r="P37" i="1"/>
  <c r="N37" i="1"/>
  <c r="P38" i="1"/>
  <c r="O38" i="1"/>
  <c r="N38" i="1"/>
  <c r="O64" i="1"/>
  <c r="P64" i="1"/>
  <c r="N64" i="1"/>
  <c r="P60" i="1"/>
  <c r="O60" i="1"/>
  <c r="N60" i="1"/>
  <c r="O57" i="1"/>
  <c r="P57" i="1"/>
  <c r="N57" i="1"/>
  <c r="P55" i="1"/>
  <c r="O55" i="1"/>
  <c r="N55" i="1"/>
  <c r="O61" i="1"/>
  <c r="P61" i="1"/>
  <c r="N61" i="1"/>
  <c r="P58" i="1"/>
  <c r="N58" i="1"/>
  <c r="O58" i="1"/>
  <c r="P74" i="1"/>
  <c r="O74" i="1"/>
  <c r="N74" i="1"/>
  <c r="O44" i="1"/>
  <c r="N228" i="1"/>
  <c r="P81" i="1"/>
  <c r="O198" i="1"/>
  <c r="O179" i="1"/>
  <c r="P14" i="1"/>
  <c r="N14" i="1"/>
  <c r="O14" i="1"/>
  <c r="P31" i="1"/>
  <c r="O31" i="1"/>
  <c r="N31" i="1"/>
  <c r="O69" i="1"/>
  <c r="P69" i="1"/>
  <c r="N69" i="1"/>
  <c r="O114" i="1"/>
  <c r="O32" i="1"/>
  <c r="P32" i="1"/>
  <c r="N32" i="1"/>
  <c r="P10" i="1"/>
  <c r="N10" i="1"/>
  <c r="O10" i="1"/>
  <c r="O25" i="1"/>
  <c r="P25" i="1"/>
  <c r="N25" i="1"/>
  <c r="P26" i="1"/>
  <c r="O26" i="1"/>
  <c r="N26" i="1"/>
  <c r="P27" i="1"/>
  <c r="O27" i="1"/>
  <c r="N27" i="1"/>
  <c r="N68" i="1"/>
  <c r="P68" i="1"/>
  <c r="O68" i="1"/>
  <c r="O45" i="1"/>
  <c r="P45" i="1"/>
  <c r="N45" i="1"/>
  <c r="P40" i="1"/>
  <c r="O40" i="1"/>
  <c r="N40" i="1"/>
  <c r="O65" i="1"/>
  <c r="P65" i="1"/>
  <c r="N65" i="1"/>
  <c r="P46" i="1"/>
  <c r="O46" i="1"/>
  <c r="N46" i="1"/>
  <c r="O41" i="1"/>
  <c r="P41" i="1"/>
  <c r="N41" i="1"/>
  <c r="P51" i="1"/>
  <c r="O51" i="1"/>
  <c r="N51" i="1"/>
  <c r="S47" i="6" l="1"/>
  <c r="C47" i="6"/>
  <c r="D47" i="6"/>
  <c r="E21" i="5"/>
  <c r="V21" i="5"/>
  <c r="D22" i="5" s="1"/>
  <c r="F21" i="5"/>
  <c r="G21" i="5" s="1"/>
  <c r="V47" i="6" l="1"/>
  <c r="D48" i="6" s="1"/>
  <c r="E47" i="6"/>
  <c r="F47" i="6"/>
  <c r="G47" i="6" s="1"/>
  <c r="V22" i="5"/>
  <c r="D23" i="5" s="1"/>
  <c r="V23" i="5" s="1"/>
  <c r="D24" i="5" s="1"/>
  <c r="I21" i="5"/>
  <c r="M21" i="5" s="1"/>
  <c r="H21" i="5"/>
  <c r="V48" i="6" l="1"/>
  <c r="D49" i="6" s="1"/>
  <c r="H47" i="6"/>
  <c r="I47" i="6"/>
  <c r="M47" i="6" s="1"/>
  <c r="V24" i="5"/>
  <c r="D25" i="5" s="1"/>
  <c r="J21" i="5"/>
  <c r="N21" i="5" s="1"/>
  <c r="T21" i="5"/>
  <c r="V49" i="6" l="1"/>
  <c r="D50" i="6" s="1"/>
  <c r="V50" i="6" s="1"/>
  <c r="D51" i="6" s="1"/>
  <c r="T47" i="6"/>
  <c r="O47" i="6" s="1"/>
  <c r="J47" i="6"/>
  <c r="V25" i="5"/>
  <c r="D26" i="5" s="1"/>
  <c r="O21" i="5"/>
  <c r="U21" i="5"/>
  <c r="W21" i="5" s="1"/>
  <c r="K21" i="5" s="1"/>
  <c r="Q21" i="5" l="1"/>
  <c r="N47" i="6"/>
  <c r="U47" i="6"/>
  <c r="V51" i="6"/>
  <c r="D52" i="6" s="1"/>
  <c r="V52" i="6" s="1"/>
  <c r="D53" i="6" s="1"/>
  <c r="V53" i="6" s="1"/>
  <c r="V26" i="5"/>
  <c r="D27" i="5" s="1"/>
  <c r="V27" i="5" s="1"/>
  <c r="L21" i="5"/>
  <c r="P21" i="5"/>
  <c r="R21" i="5" l="1"/>
  <c r="P47" i="6"/>
  <c r="W47" i="6"/>
  <c r="K47" i="6" s="1"/>
  <c r="Q47" i="6" s="1"/>
  <c r="L47" i="6" l="1"/>
  <c r="R47" i="6" s="1"/>
  <c r="X21" i="5"/>
  <c r="C22" i="5" s="1"/>
  <c r="X47" i="6" l="1"/>
  <c r="C48" i="6" s="1"/>
  <c r="Y21" i="5"/>
  <c r="B22" i="5" s="1"/>
  <c r="S22" i="5" s="1"/>
  <c r="Y47" i="6" l="1"/>
  <c r="Z47" i="6" s="1"/>
  <c r="F22" i="5"/>
  <c r="G22" i="5" s="1"/>
  <c r="H22" i="5" s="1"/>
  <c r="E22" i="5"/>
  <c r="B48" i="6" l="1"/>
  <c r="S48" i="6" s="1"/>
  <c r="AA47" i="6"/>
  <c r="J22" i="5"/>
  <c r="U22" i="5" s="1"/>
  <c r="I22" i="5"/>
  <c r="T22" i="5" s="1"/>
  <c r="E48" i="6" l="1"/>
  <c r="F48" i="6"/>
  <c r="G48" i="6" s="1"/>
  <c r="H48" i="6" s="1"/>
  <c r="J48" i="6" s="1"/>
  <c r="U48" i="6" s="1"/>
  <c r="W22" i="5"/>
  <c r="K22" i="5" s="1"/>
  <c r="I48" i="6" l="1"/>
  <c r="T48" i="6" s="1"/>
  <c r="W48" i="6" s="1"/>
  <c r="M22" i="5"/>
  <c r="O22" i="5" s="1"/>
  <c r="Q22" i="5" s="1"/>
  <c r="L22" i="5"/>
  <c r="K48" i="6" l="1"/>
  <c r="M48" i="6" s="1"/>
  <c r="L48" i="6"/>
  <c r="N48" i="6" s="1"/>
  <c r="N22" i="5"/>
  <c r="P22" i="5" s="1"/>
  <c r="R22" i="5" s="1"/>
  <c r="X22" i="5" l="1"/>
  <c r="P48" i="6"/>
  <c r="R48" i="6" s="1"/>
  <c r="O48" i="6"/>
  <c r="Q48" i="6" s="1"/>
  <c r="X48" i="6" l="1"/>
  <c r="C23" i="5"/>
  <c r="Y22" i="5"/>
  <c r="B23" i="5" s="1"/>
  <c r="S23" i="5" s="1"/>
  <c r="E23" i="5" l="1"/>
  <c r="F23" i="5"/>
  <c r="G23" i="5" s="1"/>
  <c r="I23" i="5" s="1"/>
  <c r="T23" i="5" s="1"/>
  <c r="Y48" i="6"/>
  <c r="C49" i="6"/>
  <c r="Z48" i="6" l="1"/>
  <c r="AA48" i="6"/>
  <c r="B49" i="6"/>
  <c r="E49" i="6" s="1"/>
  <c r="H23" i="5"/>
  <c r="J23" i="5" s="1"/>
  <c r="U23" i="5" s="1"/>
  <c r="W23" i="5" s="1"/>
  <c r="K23" i="5" s="1"/>
  <c r="S49" i="6" l="1"/>
  <c r="F49" i="6"/>
  <c r="G49" i="6" s="1"/>
  <c r="H49" i="6" s="1"/>
  <c r="J49" i="6" s="1"/>
  <c r="U49" i="6" s="1"/>
  <c r="M23" i="5"/>
  <c r="O23" i="5" s="1"/>
  <c r="Q23" i="5" s="1"/>
  <c r="L23" i="5"/>
  <c r="I49" i="6" l="1"/>
  <c r="T49" i="6" s="1"/>
  <c r="W49" i="6" s="1"/>
  <c r="N23" i="5"/>
  <c r="P23" i="5" s="1"/>
  <c r="R23" i="5" l="1"/>
  <c r="X23" i="5" s="1"/>
  <c r="K49" i="6"/>
  <c r="M49" i="6" s="1"/>
  <c r="L49" i="6"/>
  <c r="N49" i="6" s="1"/>
  <c r="Y23" i="5" l="1"/>
  <c r="B24" i="5" s="1"/>
  <c r="C24" i="5"/>
  <c r="P49" i="6"/>
  <c r="R49" i="6" s="1"/>
  <c r="O49" i="6"/>
  <c r="Q49" i="6" s="1"/>
  <c r="E24" i="5" l="1"/>
  <c r="X49" i="6"/>
  <c r="S24" i="5"/>
  <c r="F24" i="5"/>
  <c r="G24" i="5" s="1"/>
  <c r="H24" i="5" s="1"/>
  <c r="J24" i="5" s="1"/>
  <c r="U24" i="5" s="1"/>
  <c r="I24" i="5" l="1"/>
  <c r="T24" i="5" s="1"/>
  <c r="W24" i="5" s="1"/>
  <c r="Y49" i="6"/>
  <c r="C50" i="6"/>
  <c r="Z49" i="6" l="1"/>
  <c r="AA49" i="6"/>
  <c r="B50" i="6"/>
  <c r="F50" i="6" s="1"/>
  <c r="G50" i="6" s="1"/>
  <c r="H50" i="6" s="1"/>
  <c r="J50" i="6" s="1"/>
  <c r="K24" i="5"/>
  <c r="L24" i="5"/>
  <c r="E50" i="6" l="1"/>
  <c r="S50" i="6"/>
  <c r="N24" i="5"/>
  <c r="P24" i="5" s="1"/>
  <c r="R24" i="5" s="1"/>
  <c r="M24" i="5"/>
  <c r="O24" i="5" s="1"/>
  <c r="Q24" i="5" s="1"/>
  <c r="U50" i="6"/>
  <c r="I50" i="6"/>
  <c r="X24" i="5" l="1"/>
  <c r="Y24" i="5" s="1"/>
  <c r="B25" i="5" s="1"/>
  <c r="T50" i="6"/>
  <c r="W50" i="6" s="1"/>
  <c r="C25" i="5" l="1"/>
  <c r="E25" i="5" s="1"/>
  <c r="F25" i="5"/>
  <c r="G25" i="5" s="1"/>
  <c r="H25" i="5" s="1"/>
  <c r="S25" i="5"/>
  <c r="K50" i="6"/>
  <c r="M50" i="6" s="1"/>
  <c r="O50" i="6" s="1"/>
  <c r="Q50" i="6" s="1"/>
  <c r="L50" i="6"/>
  <c r="N50" i="6" s="1"/>
  <c r="P50" i="6" s="1"/>
  <c r="R50" i="6" s="1"/>
  <c r="J25" i="5" l="1"/>
  <c r="U25" i="5" s="1"/>
  <c r="X50" i="6"/>
  <c r="I25" i="5"/>
  <c r="T25" i="5" s="1"/>
  <c r="W25" i="5" l="1"/>
  <c r="K25" i="5" s="1"/>
  <c r="M25" i="5" s="1"/>
  <c r="O25" i="5" s="1"/>
  <c r="C51" i="6"/>
  <c r="Y50" i="6"/>
  <c r="L25" i="5" l="1"/>
  <c r="N25" i="5" s="1"/>
  <c r="P25" i="5" s="1"/>
  <c r="R25" i="5" s="1"/>
  <c r="Q25" i="5"/>
  <c r="Z50" i="6"/>
  <c r="AA50" i="6"/>
  <c r="B51" i="6"/>
  <c r="E51" i="6" s="1"/>
  <c r="X25" i="5" l="1"/>
  <c r="C26" i="5" s="1"/>
  <c r="S51" i="6"/>
  <c r="F51" i="6"/>
  <c r="G51" i="6" s="1"/>
  <c r="H51" i="6" s="1"/>
  <c r="J51" i="6" s="1"/>
  <c r="U51" i="6" s="1"/>
  <c r="Y25" i="5" l="1"/>
  <c r="B26" i="5" s="1"/>
  <c r="S26" i="5" s="1"/>
  <c r="I51" i="6"/>
  <c r="T51" i="6" s="1"/>
  <c r="F26" i="5" l="1"/>
  <c r="G26" i="5" s="1"/>
  <c r="H26" i="5" s="1"/>
  <c r="J26" i="5" s="1"/>
  <c r="E26" i="5"/>
  <c r="W51" i="6"/>
  <c r="I26" i="5" l="1"/>
  <c r="T26" i="5" s="1"/>
  <c r="K51" i="6"/>
  <c r="M51" i="6" s="1"/>
  <c r="O51" i="6" s="1"/>
  <c r="Q51" i="6" s="1"/>
  <c r="L51" i="6"/>
  <c r="N51" i="6" s="1"/>
  <c r="P51" i="6" s="1"/>
  <c r="R51" i="6" s="1"/>
  <c r="U26" i="5"/>
  <c r="X51" i="6" l="1"/>
  <c r="C52" i="6" s="1"/>
  <c r="W26" i="5"/>
  <c r="Y51" i="6" l="1"/>
  <c r="K26" i="5"/>
  <c r="L26" i="5"/>
  <c r="AA51" i="6" l="1"/>
  <c r="Z51" i="6"/>
  <c r="B52" i="6"/>
  <c r="N26" i="5"/>
  <c r="P26" i="5" s="1"/>
  <c r="R26" i="5" s="1"/>
  <c r="M26" i="5"/>
  <c r="O26" i="5" s="1"/>
  <c r="Q26" i="5" s="1"/>
  <c r="S52" i="6" l="1"/>
  <c r="F52" i="6"/>
  <c r="G52" i="6" s="1"/>
  <c r="E52" i="6"/>
  <c r="X26" i="5"/>
  <c r="C27" i="5" s="1"/>
  <c r="H52" i="6" l="1"/>
  <c r="J52" i="6" s="1"/>
  <c r="U52" i="6" s="1"/>
  <c r="I52" i="6"/>
  <c r="T52" i="6" s="1"/>
  <c r="Y26" i="5"/>
  <c r="B27" i="5" s="1"/>
  <c r="S27" i="5" s="1"/>
  <c r="W52" i="6" l="1"/>
  <c r="K52" i="6" s="1"/>
  <c r="M52" i="6" s="1"/>
  <c r="O52" i="6" s="1"/>
  <c r="Q52" i="6" s="1"/>
  <c r="F27" i="5"/>
  <c r="G27" i="5" s="1"/>
  <c r="H27" i="5" s="1"/>
  <c r="E27" i="5"/>
  <c r="L52" i="6" l="1"/>
  <c r="N52" i="6" s="1"/>
  <c r="P52" i="6" s="1"/>
  <c r="R52" i="6" s="1"/>
  <c r="X52" i="6" s="1"/>
  <c r="I27" i="5"/>
  <c r="T27" i="5" s="1"/>
  <c r="J27" i="5"/>
  <c r="C53" i="6" l="1"/>
  <c r="Y52" i="6"/>
  <c r="U27" i="5"/>
  <c r="B53" i="6" l="1"/>
  <c r="F53" i="6" s="1"/>
  <c r="G53" i="6" s="1"/>
  <c r="H53" i="6" s="1"/>
  <c r="J53" i="6" s="1"/>
  <c r="U53" i="6" s="1"/>
  <c r="AA52" i="6"/>
  <c r="Z52" i="6"/>
  <c r="W27" i="5"/>
  <c r="K27" i="5" s="1"/>
  <c r="M27" i="5" s="1"/>
  <c r="S53" i="6" l="1"/>
  <c r="E53" i="6"/>
  <c r="I53" i="6"/>
  <c r="T53" i="6" s="1"/>
  <c r="W53" i="6" s="1"/>
  <c r="O27" i="5"/>
  <c r="Q27" i="5" s="1"/>
  <c r="L27" i="5"/>
  <c r="N27" i="5" s="1"/>
  <c r="K53" i="6" l="1"/>
  <c r="M53" i="6" s="1"/>
  <c r="O53" i="6" s="1"/>
  <c r="Q53" i="6" s="1"/>
  <c r="L53" i="6"/>
  <c r="N53" i="6" s="1"/>
  <c r="P53" i="6" s="1"/>
  <c r="R53" i="6" s="1"/>
  <c r="P27" i="5"/>
  <c r="R27" i="5" s="1"/>
  <c r="X53" i="6" l="1"/>
  <c r="Y53" i="6" s="1"/>
  <c r="X27" i="5"/>
  <c r="Y27" i="5" s="1"/>
  <c r="B28" i="5" s="1"/>
  <c r="B54" i="6" l="1"/>
  <c r="D54" i="6" s="1"/>
  <c r="F54" i="6" s="1"/>
  <c r="G54" i="6" s="1"/>
  <c r="H54" i="6" s="1"/>
  <c r="Z53" i="6"/>
  <c r="AA53" i="6"/>
  <c r="C28" i="5"/>
  <c r="E28" i="5" s="1"/>
  <c r="S28" i="5"/>
  <c r="D28" i="5"/>
  <c r="V28" i="5" s="1"/>
  <c r="D29" i="5" s="1"/>
  <c r="V29" i="5" s="1"/>
  <c r="D30" i="5" s="1"/>
  <c r="C54" i="6" l="1"/>
  <c r="E54" i="6" s="1"/>
  <c r="S54" i="6"/>
  <c r="V54" i="6"/>
  <c r="D55" i="6" s="1"/>
  <c r="V55" i="6" s="1"/>
  <c r="D56" i="6" s="1"/>
  <c r="V56" i="6" s="1"/>
  <c r="D57" i="6" s="1"/>
  <c r="F28" i="5"/>
  <c r="G28" i="5" s="1"/>
  <c r="H28" i="5" s="1"/>
  <c r="J28" i="5" s="1"/>
  <c r="V30" i="5"/>
  <c r="D31" i="5" s="1"/>
  <c r="J54" i="6" l="1"/>
  <c r="U54" i="6" s="1"/>
  <c r="I54" i="6"/>
  <c r="T54" i="6" s="1"/>
  <c r="I28" i="5"/>
  <c r="M28" i="5" s="1"/>
  <c r="V57" i="6"/>
  <c r="D58" i="6" s="1"/>
  <c r="N28" i="5"/>
  <c r="V31" i="5"/>
  <c r="D32" i="5" s="1"/>
  <c r="U28" i="5"/>
  <c r="N54" i="6" l="1"/>
  <c r="P54" i="6" s="1"/>
  <c r="W54" i="6"/>
  <c r="K54" i="6" s="1"/>
  <c r="M54" i="6"/>
  <c r="O54" i="6" s="1"/>
  <c r="T28" i="5"/>
  <c r="O28" i="5" s="1"/>
  <c r="V58" i="6"/>
  <c r="D59" i="6" s="1"/>
  <c r="P28" i="5"/>
  <c r="V32" i="5"/>
  <c r="D33" i="5" s="1"/>
  <c r="L54" i="6" l="1"/>
  <c r="R54" i="6" s="1"/>
  <c r="Q54" i="6"/>
  <c r="W28" i="5"/>
  <c r="K28" i="5" s="1"/>
  <c r="Q28" i="5" s="1"/>
  <c r="V59" i="6"/>
  <c r="D60" i="6" s="1"/>
  <c r="V60" i="6" s="1"/>
  <c r="V33" i="5"/>
  <c r="D34" i="5" s="1"/>
  <c r="X54" i="6" l="1"/>
  <c r="Y54" i="6" s="1"/>
  <c r="Z54" i="6" s="1"/>
  <c r="L28" i="5"/>
  <c r="R28" i="5" s="1"/>
  <c r="X28" i="5" s="1"/>
  <c r="C29" i="5" s="1"/>
  <c r="V34" i="5"/>
  <c r="C55" i="6" l="1"/>
  <c r="B55" i="6"/>
  <c r="F55" i="6" s="1"/>
  <c r="G55" i="6" s="1"/>
  <c r="H55" i="6" s="1"/>
  <c r="AA54" i="6"/>
  <c r="Y28" i="5"/>
  <c r="B29" i="5" s="1"/>
  <c r="S29" i="5" s="1"/>
  <c r="J55" i="6" l="1"/>
  <c r="U55" i="6" s="1"/>
  <c r="S55" i="6"/>
  <c r="E55" i="6"/>
  <c r="I55" i="6"/>
  <c r="T55" i="6" s="1"/>
  <c r="E29" i="5"/>
  <c r="F29" i="5"/>
  <c r="G29" i="5" s="1"/>
  <c r="W55" i="6" l="1"/>
  <c r="L55" i="6" s="1"/>
  <c r="N55" i="6" s="1"/>
  <c r="P55" i="6" s="1"/>
  <c r="R55" i="6" s="1"/>
  <c r="H29" i="5"/>
  <c r="I29" i="5"/>
  <c r="T29" i="5" s="1"/>
  <c r="K55" i="6" l="1"/>
  <c r="M55" i="6" s="1"/>
  <c r="O55" i="6" s="1"/>
  <c r="Q55" i="6" s="1"/>
  <c r="X55" i="6" s="1"/>
  <c r="C56" i="6" s="1"/>
  <c r="J29" i="5"/>
  <c r="U29" i="5" s="1"/>
  <c r="Y55" i="6" l="1"/>
  <c r="B56" i="6" s="1"/>
  <c r="S56" i="6" s="1"/>
  <c r="W29" i="5"/>
  <c r="K29" i="5" s="1"/>
  <c r="F56" i="6" l="1"/>
  <c r="G56" i="6" s="1"/>
  <c r="I56" i="6" s="1"/>
  <c r="T56" i="6" s="1"/>
  <c r="Z55" i="6"/>
  <c r="E56" i="6"/>
  <c r="AA55" i="6"/>
  <c r="M29" i="5"/>
  <c r="O29" i="5" s="1"/>
  <c r="Q29" i="5" s="1"/>
  <c r="L29" i="5"/>
  <c r="H56" i="6" l="1"/>
  <c r="J56" i="6" s="1"/>
  <c r="U56" i="6" s="1"/>
  <c r="N29" i="5"/>
  <c r="P29" i="5" s="1"/>
  <c r="R29" i="5" s="1"/>
  <c r="X29" i="5" l="1"/>
  <c r="W56" i="6"/>
  <c r="K56" i="6" s="1"/>
  <c r="L56" i="6" l="1"/>
  <c r="N56" i="6" s="1"/>
  <c r="P56" i="6" s="1"/>
  <c r="R56" i="6" s="1"/>
  <c r="C30" i="5"/>
  <c r="Y29" i="5"/>
  <c r="B30" i="5" s="1"/>
  <c r="S30" i="5" s="1"/>
  <c r="M56" i="6"/>
  <c r="O56" i="6" s="1"/>
  <c r="Q56" i="6" s="1"/>
  <c r="X56" i="6" l="1"/>
  <c r="C57" i="6" s="1"/>
  <c r="F30" i="5"/>
  <c r="G30" i="5" s="1"/>
  <c r="I30" i="5" s="1"/>
  <c r="T30" i="5" s="1"/>
  <c r="E30" i="5"/>
  <c r="Y56" i="6" l="1"/>
  <c r="H30" i="5"/>
  <c r="J30" i="5" s="1"/>
  <c r="U30" i="5" s="1"/>
  <c r="AA56" i="6" l="1"/>
  <c r="Z56" i="6"/>
  <c r="B57" i="6"/>
  <c r="F57" i="6" s="1"/>
  <c r="G57" i="6" s="1"/>
  <c r="I57" i="6" s="1"/>
  <c r="W30" i="5"/>
  <c r="K30" i="5" s="1"/>
  <c r="H57" i="6" l="1"/>
  <c r="J57" i="6" s="1"/>
  <c r="E57" i="6"/>
  <c r="S57" i="6"/>
  <c r="M30" i="5"/>
  <c r="O30" i="5" s="1"/>
  <c r="Q30" i="5" s="1"/>
  <c r="T57" i="6"/>
  <c r="L30" i="5"/>
  <c r="N30" i="5" l="1"/>
  <c r="P30" i="5" s="1"/>
  <c r="R30" i="5" s="1"/>
  <c r="U57" i="6"/>
  <c r="X30" i="5" l="1"/>
  <c r="W57" i="6"/>
  <c r="K57" i="6" s="1"/>
  <c r="Y30" i="5" l="1"/>
  <c r="B31" i="5" s="1"/>
  <c r="S31" i="5" s="1"/>
  <c r="C31" i="5"/>
  <c r="M57" i="6"/>
  <c r="O57" i="6" s="1"/>
  <c r="Q57" i="6" s="1"/>
  <c r="L57" i="6"/>
  <c r="E31" i="5" l="1"/>
  <c r="F31" i="5"/>
  <c r="G31" i="5" s="1"/>
  <c r="H31" i="5" s="1"/>
  <c r="N57" i="6"/>
  <c r="P57" i="6" s="1"/>
  <c r="R57" i="6" s="1"/>
  <c r="X57" i="6" s="1"/>
  <c r="I31" i="5" l="1"/>
  <c r="T31" i="5" s="1"/>
  <c r="Y57" i="6"/>
  <c r="C58" i="6"/>
  <c r="J31" i="5"/>
  <c r="Z57" i="6" l="1"/>
  <c r="AA57" i="6"/>
  <c r="B58" i="6"/>
  <c r="E58" i="6" s="1"/>
  <c r="U31" i="5"/>
  <c r="F58" i="6" l="1"/>
  <c r="G58" i="6" s="1"/>
  <c r="I58" i="6" s="1"/>
  <c r="T58" i="6" s="1"/>
  <c r="S58" i="6"/>
  <c r="W31" i="5"/>
  <c r="K31" i="5" s="1"/>
  <c r="H58" i="6" l="1"/>
  <c r="J58" i="6" s="1"/>
  <c r="M31" i="5"/>
  <c r="O31" i="5" s="1"/>
  <c r="Q31" i="5" s="1"/>
  <c r="L31" i="5"/>
  <c r="U58" i="6" l="1"/>
  <c r="N31" i="5"/>
  <c r="P31" i="5" s="1"/>
  <c r="R31" i="5" s="1"/>
  <c r="X31" i="5" l="1"/>
  <c r="W58" i="6"/>
  <c r="K58" i="6" s="1"/>
  <c r="L58" i="6" l="1"/>
  <c r="N58" i="6" s="1"/>
  <c r="P58" i="6" s="1"/>
  <c r="R58" i="6" s="1"/>
  <c r="C32" i="5"/>
  <c r="Y31" i="5"/>
  <c r="B32" i="5" s="1"/>
  <c r="S32" i="5" s="1"/>
  <c r="M58" i="6"/>
  <c r="O58" i="6" s="1"/>
  <c r="Q58" i="6" s="1"/>
  <c r="X58" i="6" l="1"/>
  <c r="C59" i="6" s="1"/>
  <c r="E32" i="5"/>
  <c r="F32" i="5"/>
  <c r="G32" i="5" s="1"/>
  <c r="I32" i="5" s="1"/>
  <c r="Y58" i="6" l="1"/>
  <c r="H32" i="5"/>
  <c r="J32" i="5" s="1"/>
  <c r="T32" i="5"/>
  <c r="Z58" i="6" l="1"/>
  <c r="AA58" i="6"/>
  <c r="B59" i="6"/>
  <c r="E59" i="6" s="1"/>
  <c r="U32" i="5"/>
  <c r="S59" i="6" l="1"/>
  <c r="F59" i="6"/>
  <c r="G59" i="6" s="1"/>
  <c r="H59" i="6" s="1"/>
  <c r="J59" i="6" s="1"/>
  <c r="W32" i="5"/>
  <c r="K32" i="5" s="1"/>
  <c r="I59" i="6" l="1"/>
  <c r="T59" i="6" s="1"/>
  <c r="M32" i="5"/>
  <c r="O32" i="5" s="1"/>
  <c r="Q32" i="5" s="1"/>
  <c r="U59" i="6"/>
  <c r="L32" i="5"/>
  <c r="N32" i="5" l="1"/>
  <c r="P32" i="5" s="1"/>
  <c r="R32" i="5" s="1"/>
  <c r="W59" i="6"/>
  <c r="K59" i="6" s="1"/>
  <c r="X32" i="5" l="1"/>
  <c r="M59" i="6"/>
  <c r="O59" i="6" s="1"/>
  <c r="Q59" i="6" s="1"/>
  <c r="L59" i="6"/>
  <c r="Y32" i="5" l="1"/>
  <c r="B33" i="5" s="1"/>
  <c r="F33" i="5" s="1"/>
  <c r="G33" i="5" s="1"/>
  <c r="C33" i="5"/>
  <c r="N59" i="6"/>
  <c r="P59" i="6" s="1"/>
  <c r="R59" i="6" s="1"/>
  <c r="X59" i="6" s="1"/>
  <c r="E33" i="5" l="1"/>
  <c r="S33" i="5"/>
  <c r="Y59" i="6"/>
  <c r="C60" i="6"/>
  <c r="H33" i="5"/>
  <c r="I33" i="5"/>
  <c r="T33" i="5" s="1"/>
  <c r="AA59" i="6" l="1"/>
  <c r="Z59" i="6"/>
  <c r="B60" i="6"/>
  <c r="E60" i="6" s="1"/>
  <c r="J33" i="5"/>
  <c r="U33" i="5" s="1"/>
  <c r="W33" i="5" s="1"/>
  <c r="K33" i="5" s="1"/>
  <c r="F60" i="6" l="1"/>
  <c r="G60" i="6" s="1"/>
  <c r="H60" i="6" s="1"/>
  <c r="S60" i="6"/>
  <c r="M33" i="5"/>
  <c r="O33" i="5" s="1"/>
  <c r="Q33" i="5" s="1"/>
  <c r="L33" i="5"/>
  <c r="I60" i="6" l="1"/>
  <c r="T60" i="6" s="1"/>
  <c r="N33" i="5"/>
  <c r="P33" i="5" s="1"/>
  <c r="R33" i="5" s="1"/>
  <c r="J60" i="6"/>
  <c r="X33" i="5" l="1"/>
  <c r="U60" i="6"/>
  <c r="C34" i="5" l="1"/>
  <c r="Y33" i="5"/>
  <c r="B34" i="5" s="1"/>
  <c r="W60" i="6"/>
  <c r="K60" i="6" s="1"/>
  <c r="M60" i="6" s="1"/>
  <c r="O60" i="6" s="1"/>
  <c r="Q60" i="6" s="1"/>
  <c r="E34" i="5" l="1"/>
  <c r="L60" i="6"/>
  <c r="N60" i="6" s="1"/>
  <c r="P60" i="6" s="1"/>
  <c r="R60" i="6" s="1"/>
  <c r="X60" i="6" s="1"/>
  <c r="F34" i="5"/>
  <c r="G34" i="5" s="1"/>
  <c r="H34" i="5" s="1"/>
  <c r="S34" i="5"/>
  <c r="Y60" i="6" l="1"/>
  <c r="I34" i="5"/>
  <c r="T34" i="5" s="1"/>
  <c r="J34" i="5"/>
  <c r="AA60" i="6" l="1"/>
  <c r="Z60" i="6"/>
  <c r="B61" i="6"/>
  <c r="C61" i="6" s="1"/>
  <c r="E61" i="6" s="1"/>
  <c r="U34" i="5"/>
  <c r="D61" i="6" l="1"/>
  <c r="F61" i="6" s="1"/>
  <c r="G61" i="6" s="1"/>
  <c r="I61" i="6" s="1"/>
  <c r="S61" i="6"/>
  <c r="W34" i="5"/>
  <c r="K34" i="5" s="1"/>
  <c r="M34" i="5" s="1"/>
  <c r="M61" i="6" l="1"/>
  <c r="T61" i="6"/>
  <c r="H61" i="6"/>
  <c r="J61" i="6" s="1"/>
  <c r="N61" i="6" s="1"/>
  <c r="V61" i="6"/>
  <c r="D62" i="6" s="1"/>
  <c r="V62" i="6" s="1"/>
  <c r="D63" i="6" s="1"/>
  <c r="V63" i="6" s="1"/>
  <c r="D64" i="6" s="1"/>
  <c r="L34" i="5"/>
  <c r="O34" i="5"/>
  <c r="Q34" i="5" s="1"/>
  <c r="O61" i="6" l="1"/>
  <c r="V64" i="6"/>
  <c r="D65" i="6" s="1"/>
  <c r="U61" i="6"/>
  <c r="N34" i="5"/>
  <c r="P34" i="5" s="1"/>
  <c r="R34" i="5" s="1"/>
  <c r="X34" i="5" l="1"/>
  <c r="Y34" i="5" s="1"/>
  <c r="B35" i="5" s="1"/>
  <c r="D35" i="5" s="1"/>
  <c r="V35" i="5" s="1"/>
  <c r="D36" i="5" s="1"/>
  <c r="V65" i="6"/>
  <c r="D66" i="6" s="1"/>
  <c r="W61" i="6"/>
  <c r="P61" i="6"/>
  <c r="F35" i="5" l="1"/>
  <c r="G35" i="5" s="1"/>
  <c r="H35" i="5" s="1"/>
  <c r="C35" i="5"/>
  <c r="E35" i="5" s="1"/>
  <c r="S35" i="5"/>
  <c r="V66" i="6"/>
  <c r="D67" i="6" s="1"/>
  <c r="K61" i="6"/>
  <c r="Q61" i="6" s="1"/>
  <c r="L61" i="6"/>
  <c r="R61" i="6" s="1"/>
  <c r="V36" i="5"/>
  <c r="D37" i="5" s="1"/>
  <c r="X61" i="6" l="1"/>
  <c r="Y61" i="6" s="1"/>
  <c r="I35" i="5"/>
  <c r="M35" i="5" s="1"/>
  <c r="V67" i="6"/>
  <c r="J35" i="5"/>
  <c r="N35" i="5" s="1"/>
  <c r="V37" i="5"/>
  <c r="D38" i="5" s="1"/>
  <c r="C62" i="6" l="1"/>
  <c r="Z61" i="6"/>
  <c r="AA61" i="6"/>
  <c r="B62" i="6"/>
  <c r="T35" i="5"/>
  <c r="O35" i="5" s="1"/>
  <c r="V38" i="5"/>
  <c r="D39" i="5" s="1"/>
  <c r="U35" i="5"/>
  <c r="E62" i="6" l="1"/>
  <c r="F62" i="6"/>
  <c r="G62" i="6" s="1"/>
  <c r="H62" i="6" s="1"/>
  <c r="S62" i="6"/>
  <c r="V39" i="5"/>
  <c r="D40" i="5" s="1"/>
  <c r="W35" i="5"/>
  <c r="P35" i="5"/>
  <c r="I62" i="6" l="1"/>
  <c r="T62" i="6" s="1"/>
  <c r="J62" i="6"/>
  <c r="V40" i="5"/>
  <c r="D41" i="5" s="1"/>
  <c r="K35" i="5"/>
  <c r="Q35" i="5" s="1"/>
  <c r="L35" i="5"/>
  <c r="R35" i="5" s="1"/>
  <c r="U62" i="6" l="1"/>
  <c r="X35" i="5"/>
  <c r="V41" i="5"/>
  <c r="W62" i="6" l="1"/>
  <c r="K62" i="6" s="1"/>
  <c r="Y35" i="5"/>
  <c r="B36" i="5" s="1"/>
  <c r="C36" i="5"/>
  <c r="L62" i="6" l="1"/>
  <c r="N62" i="6" s="1"/>
  <c r="P62" i="6" s="1"/>
  <c r="R62" i="6" s="1"/>
  <c r="M62" i="6"/>
  <c r="O62" i="6" s="1"/>
  <c r="Q62" i="6" s="1"/>
  <c r="E36" i="5"/>
  <c r="S36" i="5"/>
  <c r="F36" i="5"/>
  <c r="G36" i="5" s="1"/>
  <c r="X62" i="6" l="1"/>
  <c r="Y62" i="6" s="1"/>
  <c r="H36" i="5"/>
  <c r="I36" i="5"/>
  <c r="Z62" i="6" l="1"/>
  <c r="AA62" i="6"/>
  <c r="B63" i="6"/>
  <c r="F63" i="6" s="1"/>
  <c r="G63" i="6" s="1"/>
  <c r="C63" i="6"/>
  <c r="T36" i="5"/>
  <c r="J36" i="5"/>
  <c r="S63" i="6" l="1"/>
  <c r="E63" i="6"/>
  <c r="H63" i="6"/>
  <c r="I63" i="6"/>
  <c r="U36" i="5"/>
  <c r="T63" i="6" l="1"/>
  <c r="J63" i="6"/>
  <c r="W36" i="5"/>
  <c r="K36" i="5" s="1"/>
  <c r="M36" i="5" l="1"/>
  <c r="O36" i="5" s="1"/>
  <c r="Q36" i="5" s="1"/>
  <c r="U63" i="6"/>
  <c r="L36" i="5"/>
  <c r="W63" i="6" l="1"/>
  <c r="N36" i="5"/>
  <c r="P36" i="5" s="1"/>
  <c r="R36" i="5" s="1"/>
  <c r="X36" i="5" l="1"/>
  <c r="K63" i="6"/>
  <c r="L63" i="6"/>
  <c r="Y36" i="5" l="1"/>
  <c r="B37" i="5" s="1"/>
  <c r="F37" i="5" s="1"/>
  <c r="G37" i="5" s="1"/>
  <c r="C37" i="5"/>
  <c r="N63" i="6"/>
  <c r="P63" i="6" s="1"/>
  <c r="R63" i="6" s="1"/>
  <c r="M63" i="6"/>
  <c r="O63" i="6" s="1"/>
  <c r="Q63" i="6" s="1"/>
  <c r="E37" i="5" l="1"/>
  <c r="X63" i="6"/>
  <c r="Y63" i="6" s="1"/>
  <c r="S37" i="5"/>
  <c r="I37" i="5"/>
  <c r="T37" i="5" s="1"/>
  <c r="H37" i="5"/>
  <c r="AA63" i="6" l="1"/>
  <c r="Z63" i="6"/>
  <c r="C64" i="6"/>
  <c r="B64" i="6"/>
  <c r="F64" i="6" s="1"/>
  <c r="G64" i="6" s="1"/>
  <c r="J37" i="5"/>
  <c r="E64" i="6" l="1"/>
  <c r="S64" i="6"/>
  <c r="H64" i="6"/>
  <c r="I64" i="6"/>
  <c r="U37" i="5"/>
  <c r="T64" i="6" l="1"/>
  <c r="J64" i="6"/>
  <c r="W37" i="5"/>
  <c r="K37" i="5" s="1"/>
  <c r="M37" i="5" l="1"/>
  <c r="O37" i="5" s="1"/>
  <c r="Q37" i="5" s="1"/>
  <c r="U64" i="6"/>
  <c r="L37" i="5"/>
  <c r="N37" i="5" l="1"/>
  <c r="P37" i="5" s="1"/>
  <c r="R37" i="5" s="1"/>
  <c r="W64" i="6"/>
  <c r="K64" i="6" s="1"/>
  <c r="X37" i="5" l="1"/>
  <c r="M64" i="6"/>
  <c r="O64" i="6" s="1"/>
  <c r="Q64" i="6" s="1"/>
  <c r="L64" i="6"/>
  <c r="C38" i="5" l="1"/>
  <c r="Y37" i="5"/>
  <c r="B38" i="5" s="1"/>
  <c r="S38" i="5" s="1"/>
  <c r="N64" i="6"/>
  <c r="P64" i="6" s="1"/>
  <c r="R64" i="6" s="1"/>
  <c r="X64" i="6" s="1"/>
  <c r="E38" i="5" l="1"/>
  <c r="F38" i="5"/>
  <c r="G38" i="5" s="1"/>
  <c r="H38" i="5" s="1"/>
  <c r="Y64" i="6"/>
  <c r="C65" i="6"/>
  <c r="AA64" i="6" l="1"/>
  <c r="Z64" i="6"/>
  <c r="B65" i="6"/>
  <c r="F65" i="6" s="1"/>
  <c r="G65" i="6" s="1"/>
  <c r="I38" i="5"/>
  <c r="T38" i="5" s="1"/>
  <c r="J38" i="5"/>
  <c r="U38" i="5" s="1"/>
  <c r="S65" i="6" l="1"/>
  <c r="E65" i="6"/>
  <c r="H65" i="6"/>
  <c r="I65" i="6"/>
  <c r="W38" i="5"/>
  <c r="T65" i="6" l="1"/>
  <c r="J65" i="6"/>
  <c r="K38" i="5"/>
  <c r="L38" i="5"/>
  <c r="N38" i="5" l="1"/>
  <c r="P38" i="5" s="1"/>
  <c r="R38" i="5" s="1"/>
  <c r="M38" i="5"/>
  <c r="O38" i="5" s="1"/>
  <c r="Q38" i="5" s="1"/>
  <c r="U65" i="6"/>
  <c r="W65" i="6" l="1"/>
  <c r="X38" i="5"/>
  <c r="C39" i="5" s="1"/>
  <c r="K65" i="6" l="1"/>
  <c r="L65" i="6"/>
  <c r="Y38" i="5"/>
  <c r="B39" i="5" s="1"/>
  <c r="S39" i="5" s="1"/>
  <c r="N65" i="6" l="1"/>
  <c r="P65" i="6" s="1"/>
  <c r="R65" i="6" s="1"/>
  <c r="M65" i="6"/>
  <c r="O65" i="6" s="1"/>
  <c r="Q65" i="6" s="1"/>
  <c r="E39" i="5"/>
  <c r="F39" i="5"/>
  <c r="G39" i="5" s="1"/>
  <c r="X65" i="6" l="1"/>
  <c r="Y65" i="6" s="1"/>
  <c r="H39" i="5"/>
  <c r="J39" i="5" s="1"/>
  <c r="I39" i="5"/>
  <c r="T39" i="5" s="1"/>
  <c r="Z65" i="6" l="1"/>
  <c r="AA65" i="6"/>
  <c r="B66" i="6"/>
  <c r="F66" i="6" s="1"/>
  <c r="G66" i="6" s="1"/>
  <c r="C66" i="6"/>
  <c r="U39" i="5"/>
  <c r="S66" i="6" l="1"/>
  <c r="E66" i="6"/>
  <c r="H66" i="6"/>
  <c r="I66" i="6"/>
  <c r="W39" i="5"/>
  <c r="K39" i="5" s="1"/>
  <c r="M39" i="5" l="1"/>
  <c r="O39" i="5" s="1"/>
  <c r="Q39" i="5" s="1"/>
  <c r="T66" i="6"/>
  <c r="J66" i="6"/>
  <c r="L39" i="5"/>
  <c r="U66" i="6" l="1"/>
  <c r="N39" i="5"/>
  <c r="P39" i="5" s="1"/>
  <c r="R39" i="5" s="1"/>
  <c r="X39" i="5" l="1"/>
  <c r="C40" i="5" s="1"/>
  <c r="W66" i="6"/>
  <c r="K66" i="6" s="1"/>
  <c r="L66" i="6" l="1"/>
  <c r="N66" i="6" s="1"/>
  <c r="P66" i="6" s="1"/>
  <c r="R66" i="6" s="1"/>
  <c r="Y39" i="5"/>
  <c r="B40" i="5" s="1"/>
  <c r="E40" i="5" s="1"/>
  <c r="M66" i="6"/>
  <c r="O66" i="6" s="1"/>
  <c r="Q66" i="6" s="1"/>
  <c r="X66" i="6" l="1"/>
  <c r="Y66" i="6" s="1"/>
  <c r="S40" i="5"/>
  <c r="F40" i="5"/>
  <c r="G40" i="5" s="1"/>
  <c r="H40" i="5" s="1"/>
  <c r="Z66" i="6" l="1"/>
  <c r="AA66" i="6"/>
  <c r="C67" i="6"/>
  <c r="B67" i="6"/>
  <c r="F67" i="6" s="1"/>
  <c r="G67" i="6" s="1"/>
  <c r="I40" i="5"/>
  <c r="T40" i="5" s="1"/>
  <c r="J40" i="5"/>
  <c r="I67" i="6" l="1"/>
  <c r="T67" i="6" s="1"/>
  <c r="S67" i="6"/>
  <c r="E67" i="6"/>
  <c r="H67" i="6"/>
  <c r="U40" i="5"/>
  <c r="J67" i="6" l="1"/>
  <c r="W40" i="5"/>
  <c r="U67" i="6" l="1"/>
  <c r="K40" i="5"/>
  <c r="L40" i="5"/>
  <c r="N40" i="5" l="1"/>
  <c r="P40" i="5" s="1"/>
  <c r="R40" i="5" s="1"/>
  <c r="M40" i="5"/>
  <c r="O40" i="5" s="1"/>
  <c r="Q40" i="5" s="1"/>
  <c r="W67" i="6"/>
  <c r="K67" i="6" l="1"/>
  <c r="M67" i="6" s="1"/>
  <c r="O67" i="6" s="1"/>
  <c r="Q67" i="6" s="1"/>
  <c r="L67" i="6"/>
  <c r="N67" i="6" s="1"/>
  <c r="P67" i="6" s="1"/>
  <c r="R67" i="6" s="1"/>
  <c r="X40" i="5"/>
  <c r="Y40" i="5" s="1"/>
  <c r="B41" i="5" s="1"/>
  <c r="X67" i="6" l="1"/>
  <c r="Y67" i="6" s="1"/>
  <c r="C41" i="5"/>
  <c r="E41" i="5" s="1"/>
  <c r="S41" i="5"/>
  <c r="F41" i="5"/>
  <c r="G41" i="5" s="1"/>
  <c r="AA67" i="6" l="1"/>
  <c r="Z67" i="6"/>
  <c r="B68" i="6"/>
  <c r="C68" i="6" s="1"/>
  <c r="I41" i="5"/>
  <c r="T41" i="5" s="1"/>
  <c r="H41" i="5"/>
  <c r="D68" i="6" l="1"/>
  <c r="F68" i="6" s="1"/>
  <c r="G68" i="6" s="1"/>
  <c r="I68" i="6" s="1"/>
  <c r="S68" i="6"/>
  <c r="E68" i="6"/>
  <c r="J41" i="5"/>
  <c r="V68" i="6" l="1"/>
  <c r="D69" i="6" s="1"/>
  <c r="V69" i="6" s="1"/>
  <c r="D70" i="6" s="1"/>
  <c r="T68" i="6"/>
  <c r="H68" i="6"/>
  <c r="M68" i="6"/>
  <c r="U41" i="5"/>
  <c r="O68" i="6" l="1"/>
  <c r="V70" i="6"/>
  <c r="D71" i="6" s="1"/>
  <c r="J68" i="6"/>
  <c r="N68" i="6" s="1"/>
  <c r="W41" i="5"/>
  <c r="K41" i="5" s="1"/>
  <c r="M41" i="5" s="1"/>
  <c r="V71" i="6" l="1"/>
  <c r="D72" i="6" s="1"/>
  <c r="U68" i="6"/>
  <c r="L41" i="5"/>
  <c r="O41" i="5"/>
  <c r="Q41" i="5" s="1"/>
  <c r="V72" i="6" l="1"/>
  <c r="D73" i="6" s="1"/>
  <c r="W68" i="6"/>
  <c r="P68" i="6"/>
  <c r="N41" i="5"/>
  <c r="P41" i="5" s="1"/>
  <c r="R41" i="5" s="1"/>
  <c r="X41" i="5" l="1"/>
  <c r="Y41" i="5" s="1"/>
  <c r="B42" i="5" s="1"/>
  <c r="C42" i="5" s="1"/>
  <c r="E42" i="5" s="1"/>
  <c r="V73" i="6"/>
  <c r="D74" i="6" s="1"/>
  <c r="K68" i="6"/>
  <c r="Q68" i="6" s="1"/>
  <c r="L68" i="6"/>
  <c r="R68" i="6" s="1"/>
  <c r="X68" i="6" l="1"/>
  <c r="Y68" i="6" s="1"/>
  <c r="S42" i="5"/>
  <c r="D42" i="5"/>
  <c r="F42" i="5" s="1"/>
  <c r="G42" i="5" s="1"/>
  <c r="H42" i="5" s="1"/>
  <c r="V74" i="6"/>
  <c r="AA68" i="6" l="1"/>
  <c r="Z68" i="6"/>
  <c r="C69" i="6"/>
  <c r="B69" i="6"/>
  <c r="S69" i="6" s="1"/>
  <c r="V42" i="5"/>
  <c r="D43" i="5" s="1"/>
  <c r="V43" i="5" s="1"/>
  <c r="D44" i="5" s="1"/>
  <c r="V44" i="5" s="1"/>
  <c r="D45" i="5" s="1"/>
  <c r="I42" i="5"/>
  <c r="T42" i="5" s="1"/>
  <c r="J42" i="5"/>
  <c r="N42" i="5" s="1"/>
  <c r="M42" i="5" l="1"/>
  <c r="O42" i="5" s="1"/>
  <c r="E69" i="6"/>
  <c r="F69" i="6"/>
  <c r="G69" i="6" s="1"/>
  <c r="H69" i="6" s="1"/>
  <c r="V45" i="5"/>
  <c r="D46" i="5" s="1"/>
  <c r="U42" i="5"/>
  <c r="P42" i="5" s="1"/>
  <c r="I69" i="6" l="1"/>
  <c r="T69" i="6" s="1"/>
  <c r="J69" i="6"/>
  <c r="V46" i="5"/>
  <c r="D47" i="5" s="1"/>
  <c r="W42" i="5"/>
  <c r="U69" i="6" l="1"/>
  <c r="V47" i="5"/>
  <c r="D48" i="5" s="1"/>
  <c r="K42" i="5"/>
  <c r="Q42" i="5" s="1"/>
  <c r="L42" i="5"/>
  <c r="R42" i="5" s="1"/>
  <c r="W69" i="6" l="1"/>
  <c r="K69" i="6" s="1"/>
  <c r="X42" i="5"/>
  <c r="C43" i="5" s="1"/>
  <c r="V48" i="5"/>
  <c r="L69" i="6" l="1"/>
  <c r="N69" i="6" s="1"/>
  <c r="P69" i="6" s="1"/>
  <c r="R69" i="6" s="1"/>
  <c r="M69" i="6"/>
  <c r="O69" i="6" s="1"/>
  <c r="Q69" i="6" s="1"/>
  <c r="Y42" i="5"/>
  <c r="B43" i="5" s="1"/>
  <c r="S43" i="5" s="1"/>
  <c r="X69" i="6" l="1"/>
  <c r="E43" i="5"/>
  <c r="F43" i="5"/>
  <c r="G43" i="5" s="1"/>
  <c r="Y69" i="6" l="1"/>
  <c r="C70" i="6"/>
  <c r="H43" i="5"/>
  <c r="J43" i="5" s="1"/>
  <c r="I43" i="5"/>
  <c r="T43" i="5" s="1"/>
  <c r="Z69" i="6" l="1"/>
  <c r="AA69" i="6"/>
  <c r="B70" i="6"/>
  <c r="E70" i="6" s="1"/>
  <c r="U43" i="5"/>
  <c r="F70" i="6" l="1"/>
  <c r="G70" i="6" s="1"/>
  <c r="H70" i="6" s="1"/>
  <c r="S70" i="6"/>
  <c r="W43" i="5"/>
  <c r="K43" i="5" s="1"/>
  <c r="I70" i="6" l="1"/>
  <c r="T70" i="6" s="1"/>
  <c r="M43" i="5"/>
  <c r="O43" i="5" s="1"/>
  <c r="Q43" i="5" s="1"/>
  <c r="J70" i="6"/>
  <c r="L43" i="5"/>
  <c r="U70" i="6" l="1"/>
  <c r="N43" i="5"/>
  <c r="P43" i="5" s="1"/>
  <c r="R43" i="5" s="1"/>
  <c r="X43" i="5" l="1"/>
  <c r="Y43" i="5" s="1"/>
  <c r="B44" i="5" s="1"/>
  <c r="S44" i="5" s="1"/>
  <c r="W70" i="6"/>
  <c r="F44" i="5" l="1"/>
  <c r="G44" i="5" s="1"/>
  <c r="H44" i="5" s="1"/>
  <c r="C44" i="5"/>
  <c r="E44" i="5" s="1"/>
  <c r="K70" i="6"/>
  <c r="L70" i="6"/>
  <c r="I44" i="5" l="1"/>
  <c r="T44" i="5" s="1"/>
  <c r="N70" i="6"/>
  <c r="P70" i="6" s="1"/>
  <c r="R70" i="6" s="1"/>
  <c r="M70" i="6"/>
  <c r="O70" i="6" s="1"/>
  <c r="Q70" i="6" s="1"/>
  <c r="J44" i="5"/>
  <c r="X70" i="6" l="1"/>
  <c r="Y70" i="6" s="1"/>
  <c r="U44" i="5"/>
  <c r="C71" i="6" l="1"/>
  <c r="Z70" i="6"/>
  <c r="AA70" i="6"/>
  <c r="B71" i="6"/>
  <c r="W44" i="5"/>
  <c r="K44" i="5" s="1"/>
  <c r="E71" i="6" l="1"/>
  <c r="F71" i="6"/>
  <c r="G71" i="6" s="1"/>
  <c r="I71" i="6" s="1"/>
  <c r="T71" i="6" s="1"/>
  <c r="S71" i="6"/>
  <c r="M44" i="5"/>
  <c r="O44" i="5" s="1"/>
  <c r="Q44" i="5" s="1"/>
  <c r="L44" i="5"/>
  <c r="H71" i="6" l="1"/>
  <c r="J71" i="6" s="1"/>
  <c r="N44" i="5"/>
  <c r="P44" i="5" s="1"/>
  <c r="R44" i="5" s="1"/>
  <c r="X44" i="5" l="1"/>
  <c r="U71" i="6"/>
  <c r="C45" i="5" l="1"/>
  <c r="Y44" i="5"/>
  <c r="B45" i="5" s="1"/>
  <c r="S45" i="5" s="1"/>
  <c r="W71" i="6"/>
  <c r="E45" i="5" l="1"/>
  <c r="F45" i="5"/>
  <c r="G45" i="5" s="1"/>
  <c r="H45" i="5" s="1"/>
  <c r="K71" i="6"/>
  <c r="L71" i="6"/>
  <c r="I45" i="5" l="1"/>
  <c r="T45" i="5" s="1"/>
  <c r="N71" i="6"/>
  <c r="P71" i="6" s="1"/>
  <c r="R71" i="6" s="1"/>
  <c r="M71" i="6"/>
  <c r="O71" i="6" s="1"/>
  <c r="Q71" i="6" s="1"/>
  <c r="J45" i="5"/>
  <c r="X71" i="6" l="1"/>
  <c r="U45" i="5"/>
  <c r="C72" i="6" l="1"/>
  <c r="Y71" i="6"/>
  <c r="W45" i="5"/>
  <c r="K45" i="5" s="1"/>
  <c r="AA71" i="6" l="1"/>
  <c r="Z71" i="6"/>
  <c r="B72" i="6"/>
  <c r="E72" i="6" s="1"/>
  <c r="M45" i="5"/>
  <c r="O45" i="5" s="1"/>
  <c r="Q45" i="5" s="1"/>
  <c r="L45" i="5"/>
  <c r="F72" i="6" l="1"/>
  <c r="G72" i="6" s="1"/>
  <c r="I72" i="6" s="1"/>
  <c r="S72" i="6"/>
  <c r="N45" i="5"/>
  <c r="P45" i="5" s="1"/>
  <c r="R45" i="5" s="1"/>
  <c r="H72" i="6" l="1"/>
  <c r="J72" i="6" s="1"/>
  <c r="X45" i="5"/>
  <c r="T72" i="6"/>
  <c r="C46" i="5" l="1"/>
  <c r="Y45" i="5"/>
  <c r="B46" i="5" s="1"/>
  <c r="S46" i="5" s="1"/>
  <c r="U72" i="6"/>
  <c r="E46" i="5" l="1"/>
  <c r="F46" i="5"/>
  <c r="G46" i="5" s="1"/>
  <c r="H46" i="5" s="1"/>
  <c r="W72" i="6"/>
  <c r="I46" i="5" l="1"/>
  <c r="T46" i="5" s="1"/>
  <c r="K72" i="6"/>
  <c r="L72" i="6"/>
  <c r="J46" i="5"/>
  <c r="N72" i="6" l="1"/>
  <c r="P72" i="6" s="1"/>
  <c r="R72" i="6" s="1"/>
  <c r="M72" i="6"/>
  <c r="O72" i="6" s="1"/>
  <c r="Q72" i="6" s="1"/>
  <c r="U46" i="5"/>
  <c r="X72" i="6" l="1"/>
  <c r="W46" i="5"/>
  <c r="K46" i="5" s="1"/>
  <c r="M46" i="5" l="1"/>
  <c r="O46" i="5" s="1"/>
  <c r="Q46" i="5" s="1"/>
  <c r="Y72" i="6"/>
  <c r="C73" i="6"/>
  <c r="L46" i="5"/>
  <c r="AA72" i="6" l="1"/>
  <c r="Z72" i="6"/>
  <c r="B73" i="6"/>
  <c r="E73" i="6" s="1"/>
  <c r="N46" i="5"/>
  <c r="P46" i="5" s="1"/>
  <c r="R46" i="5" s="1"/>
  <c r="F73" i="6" l="1"/>
  <c r="G73" i="6" s="1"/>
  <c r="H73" i="6" s="1"/>
  <c r="S73" i="6"/>
  <c r="X46" i="5"/>
  <c r="Y46" i="5" s="1"/>
  <c r="B47" i="5" s="1"/>
  <c r="F47" i="5" s="1"/>
  <c r="G47" i="5" s="1"/>
  <c r="I73" i="6" l="1"/>
  <c r="T73" i="6" s="1"/>
  <c r="S47" i="5"/>
  <c r="C47" i="5"/>
  <c r="E47" i="5" s="1"/>
  <c r="J73" i="6"/>
  <c r="H47" i="5"/>
  <c r="I47" i="5" l="1"/>
  <c r="T47" i="5" s="1"/>
  <c r="U73" i="6"/>
  <c r="J47" i="5"/>
  <c r="W73" i="6" l="1"/>
  <c r="K73" i="6" s="1"/>
  <c r="U47" i="5"/>
  <c r="L73" i="6" l="1"/>
  <c r="N73" i="6" s="1"/>
  <c r="P73" i="6" s="1"/>
  <c r="R73" i="6" s="1"/>
  <c r="M73" i="6"/>
  <c r="O73" i="6" s="1"/>
  <c r="Q73" i="6" s="1"/>
  <c r="W47" i="5"/>
  <c r="X73" i="6" l="1"/>
  <c r="Y73" i="6" s="1"/>
  <c r="L47" i="5"/>
  <c r="K47" i="5"/>
  <c r="Z73" i="6" l="1"/>
  <c r="AA73" i="6"/>
  <c r="B74" i="6"/>
  <c r="S74" i="6" s="1"/>
  <c r="C74" i="6"/>
  <c r="M47" i="5"/>
  <c r="O47" i="5" s="1"/>
  <c r="Q47" i="5" s="1"/>
  <c r="N47" i="5"/>
  <c r="P47" i="5" s="1"/>
  <c r="R47" i="5" s="1"/>
  <c r="E74" i="6" l="1"/>
  <c r="F74" i="6"/>
  <c r="G74" i="6" s="1"/>
  <c r="I74" i="6" s="1"/>
  <c r="T74" i="6" s="1"/>
  <c r="X47" i="5"/>
  <c r="H74" i="6" l="1"/>
  <c r="J74" i="6" s="1"/>
  <c r="Y47" i="5"/>
  <c r="B48" i="5" s="1"/>
  <c r="C48" i="5"/>
  <c r="U74" i="6" l="1"/>
  <c r="E48" i="5"/>
  <c r="S48" i="5"/>
  <c r="F48" i="5"/>
  <c r="G48" i="5" s="1"/>
  <c r="W74" i="6" l="1"/>
  <c r="H48" i="5"/>
  <c r="I48" i="5"/>
  <c r="K74" i="6" l="1"/>
  <c r="M74" i="6" s="1"/>
  <c r="O74" i="6" s="1"/>
  <c r="Q74" i="6" s="1"/>
  <c r="L74" i="6"/>
  <c r="N74" i="6" s="1"/>
  <c r="P74" i="6" s="1"/>
  <c r="R74" i="6" s="1"/>
  <c r="T48" i="5"/>
  <c r="J48" i="5"/>
  <c r="X74" i="6" l="1"/>
  <c r="Y74" i="6" s="1"/>
  <c r="U48" i="5"/>
  <c r="Z74" i="6" l="1"/>
  <c r="AA74" i="6"/>
  <c r="B75" i="6"/>
  <c r="C75" i="6" s="1"/>
  <c r="W48" i="5"/>
  <c r="D75" i="6" l="1"/>
  <c r="F75" i="6" s="1"/>
  <c r="G75" i="6" s="1"/>
  <c r="I75" i="6" s="1"/>
  <c r="S75" i="6"/>
  <c r="E75" i="6"/>
  <c r="K48" i="5"/>
  <c r="M48" i="5" s="1"/>
  <c r="L48" i="5"/>
  <c r="N48" i="5" s="1"/>
  <c r="V75" i="6" l="1"/>
  <c r="D76" i="6" s="1"/>
  <c r="V76" i="6" s="1"/>
  <c r="T75" i="6"/>
  <c r="M75" i="6"/>
  <c r="H75" i="6"/>
  <c r="P48" i="5"/>
  <c r="R48" i="5" s="1"/>
  <c r="O48" i="5"/>
  <c r="Q48" i="5" s="1"/>
  <c r="O75" i="6" l="1"/>
  <c r="J75" i="6"/>
  <c r="X48" i="5"/>
  <c r="Y48" i="5" s="1"/>
  <c r="B49" i="5" s="1"/>
  <c r="D49" i="5" s="1"/>
  <c r="U75" i="6" l="1"/>
  <c r="N75" i="6"/>
  <c r="S49" i="5"/>
  <c r="C49" i="5"/>
  <c r="E49" i="5" s="1"/>
  <c r="F49" i="5"/>
  <c r="G49" i="5" s="1"/>
  <c r="V49" i="5"/>
  <c r="D50" i="5" s="1"/>
  <c r="P75" i="6" l="1"/>
  <c r="W75" i="6"/>
  <c r="I49" i="5"/>
  <c r="M49" i="5" s="1"/>
  <c r="V50" i="5"/>
  <c r="D51" i="5" s="1"/>
  <c r="H49" i="5"/>
  <c r="K75" i="6" l="1"/>
  <c r="Q75" i="6" s="1"/>
  <c r="L75" i="6"/>
  <c r="R75" i="6" s="1"/>
  <c r="T49" i="5"/>
  <c r="O49" i="5" s="1"/>
  <c r="V51" i="5"/>
  <c r="D52" i="5" s="1"/>
  <c r="J49" i="5"/>
  <c r="N49" i="5" s="1"/>
  <c r="X75" i="6" l="1"/>
  <c r="V52" i="5"/>
  <c r="D53" i="5" s="1"/>
  <c r="U49" i="5"/>
  <c r="C76" i="6" l="1"/>
  <c r="Y75" i="6"/>
  <c r="W49" i="5"/>
  <c r="K49" i="5" s="1"/>
  <c r="Q49" i="5" s="1"/>
  <c r="V53" i="5"/>
  <c r="D54" i="5" s="1"/>
  <c r="P49" i="5"/>
  <c r="AA75" i="6" l="1"/>
  <c r="Z75" i="6"/>
  <c r="B76" i="6"/>
  <c r="S76" i="6" s="1"/>
  <c r="L49" i="5"/>
  <c r="R49" i="5" s="1"/>
  <c r="V54" i="5"/>
  <c r="D55" i="5" s="1"/>
  <c r="E76" i="6" l="1"/>
  <c r="F76" i="6"/>
  <c r="G76" i="6" s="1"/>
  <c r="H76" i="6" s="1"/>
  <c r="X49" i="5"/>
  <c r="Y49" i="5" s="1"/>
  <c r="B50" i="5" s="1"/>
  <c r="V55" i="5"/>
  <c r="I76" i="6" l="1"/>
  <c r="T76" i="6" s="1"/>
  <c r="C50" i="5"/>
  <c r="E50" i="5" s="1"/>
  <c r="J76" i="6"/>
  <c r="S50" i="5"/>
  <c r="F50" i="5"/>
  <c r="G50" i="5" s="1"/>
  <c r="U76" i="6" l="1"/>
  <c r="I50" i="5"/>
  <c r="T50" i="5" s="1"/>
  <c r="H50" i="5"/>
  <c r="W76" i="6" l="1"/>
  <c r="K76" i="6" s="1"/>
  <c r="J50" i="5"/>
  <c r="M76" i="6" l="1"/>
  <c r="O76" i="6" s="1"/>
  <c r="Q76" i="6" s="1"/>
  <c r="L76" i="6"/>
  <c r="U50" i="5"/>
  <c r="N76" i="6" l="1"/>
  <c r="P76" i="6" s="1"/>
  <c r="R76" i="6" s="1"/>
  <c r="X76" i="6" s="1"/>
  <c r="W50" i="5"/>
  <c r="K50" i="5" s="1"/>
  <c r="Y76" i="6" l="1"/>
  <c r="M50" i="5"/>
  <c r="O50" i="5" s="1"/>
  <c r="Q50" i="5" s="1"/>
  <c r="L50" i="5"/>
  <c r="AA76" i="6" l="1"/>
  <c r="B28" i="6" s="1"/>
  <c r="B26" i="6"/>
  <c r="B27" i="6" s="1"/>
  <c r="Z76" i="6"/>
  <c r="N50" i="5"/>
  <c r="P50" i="5" s="1"/>
  <c r="R50" i="5" s="1"/>
  <c r="X50" i="5" l="1"/>
  <c r="C51" i="5" s="1"/>
  <c r="Y50" i="5" l="1"/>
  <c r="B51" i="5" s="1"/>
  <c r="S51" i="5" s="1"/>
  <c r="F51" i="5" l="1"/>
  <c r="G51" i="5" s="1"/>
  <c r="H51" i="5" s="1"/>
  <c r="J51" i="5" s="1"/>
  <c r="E51" i="5"/>
  <c r="I51" i="5" l="1"/>
  <c r="T51" i="5" s="1"/>
  <c r="U51" i="5"/>
  <c r="W51" i="5" l="1"/>
  <c r="K51" i="5" s="1"/>
  <c r="M51" i="5" l="1"/>
  <c r="O51" i="5" s="1"/>
  <c r="Q51" i="5" s="1"/>
  <c r="L51" i="5"/>
  <c r="N51" i="5" l="1"/>
  <c r="P51" i="5" s="1"/>
  <c r="R51" i="5" s="1"/>
  <c r="X51" i="5" l="1"/>
  <c r="Y51" i="5" l="1"/>
  <c r="B52" i="5" s="1"/>
  <c r="F52" i="5" s="1"/>
  <c r="G52" i="5" s="1"/>
  <c r="C52" i="5"/>
  <c r="E52" i="5" l="1"/>
  <c r="S52" i="5"/>
  <c r="H52" i="5"/>
  <c r="J52" i="5" s="1"/>
  <c r="I52" i="5"/>
  <c r="T52" i="5" s="1"/>
  <c r="U52" i="5" l="1"/>
  <c r="W52" i="5" l="1"/>
  <c r="K52" i="5" s="1"/>
  <c r="M52" i="5" l="1"/>
  <c r="O52" i="5" s="1"/>
  <c r="Q52" i="5" s="1"/>
  <c r="L52" i="5"/>
  <c r="N52" i="5" l="1"/>
  <c r="P52" i="5" s="1"/>
  <c r="R52" i="5" s="1"/>
  <c r="X52" i="5" l="1"/>
  <c r="Y52" i="5" l="1"/>
  <c r="B53" i="5" s="1"/>
  <c r="F53" i="5" s="1"/>
  <c r="G53" i="5" s="1"/>
  <c r="C53" i="5"/>
  <c r="E53" i="5" l="1"/>
  <c r="S53" i="5"/>
  <c r="H53" i="5"/>
  <c r="I53" i="5"/>
  <c r="T53" i="5" s="1"/>
  <c r="J53" i="5" l="1"/>
  <c r="U53" i="5" s="1"/>
  <c r="W53" i="5" s="1"/>
  <c r="K53" i="5" l="1"/>
  <c r="L53" i="5"/>
  <c r="N53" i="5" l="1"/>
  <c r="P53" i="5" s="1"/>
  <c r="R53" i="5" s="1"/>
  <c r="M53" i="5"/>
  <c r="O53" i="5" s="1"/>
  <c r="Q53" i="5" s="1"/>
  <c r="X53" i="5" l="1"/>
  <c r="Y53" i="5" s="1"/>
  <c r="B54" i="5" s="1"/>
  <c r="C54" i="5" l="1"/>
  <c r="E54" i="5" s="1"/>
  <c r="S54" i="5"/>
  <c r="F54" i="5"/>
  <c r="G54" i="5" s="1"/>
  <c r="H54" i="5" l="1"/>
  <c r="I54" i="5"/>
  <c r="T54" i="5" l="1"/>
  <c r="J54" i="5"/>
  <c r="U54" i="5" l="1"/>
  <c r="W54" i="5" l="1"/>
  <c r="K54" i="5" l="1"/>
  <c r="L54" i="5"/>
  <c r="N54" i="5" l="1"/>
  <c r="P54" i="5" s="1"/>
  <c r="R54" i="5" s="1"/>
  <c r="M54" i="5"/>
  <c r="O54" i="5" s="1"/>
  <c r="Q54" i="5" s="1"/>
  <c r="X54" i="5" l="1"/>
  <c r="Y54" i="5" s="1"/>
  <c r="B55" i="5" s="1"/>
  <c r="C55" i="5" l="1"/>
  <c r="E55" i="5" s="1"/>
  <c r="S55" i="5"/>
  <c r="F55" i="5"/>
  <c r="G55" i="5" s="1"/>
  <c r="H55" i="5" l="1"/>
  <c r="I55" i="5"/>
  <c r="T55" i="5" l="1"/>
  <c r="J55" i="5"/>
  <c r="U55" i="5" l="1"/>
  <c r="W55" i="5" l="1"/>
  <c r="K55" i="5" s="1"/>
  <c r="M55" i="5" s="1"/>
  <c r="O55" i="5" l="1"/>
  <c r="Q55" i="5" s="1"/>
  <c r="L55" i="5"/>
  <c r="N55" i="5" s="1"/>
  <c r="P55" i="5" l="1"/>
  <c r="R55" i="5" s="1"/>
  <c r="X55" i="5" l="1"/>
  <c r="Y55" i="5" s="1"/>
  <c r="B56" i="5" s="1"/>
  <c r="C56" i="5" l="1"/>
  <c r="E56" i="5" s="1"/>
  <c r="S56" i="5"/>
  <c r="D56" i="5"/>
  <c r="F56" i="5" s="1"/>
  <c r="G56" i="5" s="1"/>
  <c r="H56" i="5" s="1"/>
  <c r="V56" i="5" l="1"/>
  <c r="D57" i="5" s="1"/>
  <c r="V57" i="5" s="1"/>
  <c r="D58" i="5" s="1"/>
  <c r="V58" i="5" s="1"/>
  <c r="D59" i="5" s="1"/>
  <c r="I56" i="5"/>
  <c r="M56" i="5" s="1"/>
  <c r="J56" i="5"/>
  <c r="N56" i="5" s="1"/>
  <c r="T56" i="5" l="1"/>
  <c r="O56" i="5" s="1"/>
  <c r="V59" i="5"/>
  <c r="D60" i="5" s="1"/>
  <c r="U56" i="5"/>
  <c r="W56" i="5" l="1"/>
  <c r="V60" i="5"/>
  <c r="D61" i="5" s="1"/>
  <c r="P56" i="5"/>
  <c r="V61" i="5" l="1"/>
  <c r="D62" i="5" s="1"/>
  <c r="K56" i="5"/>
  <c r="Q56" i="5" s="1"/>
  <c r="L56" i="5"/>
  <c r="R56" i="5" s="1"/>
  <c r="X56" i="5" l="1"/>
  <c r="Y56" i="5" s="1"/>
  <c r="B57" i="5" s="1"/>
  <c r="V62" i="5"/>
  <c r="C57" i="5" l="1"/>
  <c r="E57" i="5" s="1"/>
  <c r="S57" i="5"/>
  <c r="F57" i="5"/>
  <c r="G57" i="5" s="1"/>
  <c r="I57" i="5" l="1"/>
  <c r="T57" i="5" s="1"/>
  <c r="H57" i="5"/>
  <c r="J57" i="5" l="1"/>
  <c r="U57" i="5" l="1"/>
  <c r="W57" i="5" l="1"/>
  <c r="K57" i="5" l="1"/>
  <c r="L57" i="5"/>
  <c r="N57" i="5" l="1"/>
  <c r="P57" i="5" s="1"/>
  <c r="R57" i="5" s="1"/>
  <c r="M57" i="5"/>
  <c r="O57" i="5" s="1"/>
  <c r="Q57" i="5" s="1"/>
  <c r="X57" i="5" l="1"/>
  <c r="Y57" i="5" s="1"/>
  <c r="B58" i="5" s="1"/>
  <c r="C58" i="5" l="1"/>
  <c r="E58" i="5" s="1"/>
  <c r="S58" i="5"/>
  <c r="F58" i="5"/>
  <c r="G58" i="5" s="1"/>
  <c r="H58" i="5" l="1"/>
  <c r="I58" i="5"/>
  <c r="T58" i="5" l="1"/>
  <c r="J58" i="5"/>
  <c r="U58" i="5" l="1"/>
  <c r="W58" i="5" l="1"/>
  <c r="K58" i="5" l="1"/>
  <c r="L58" i="5"/>
  <c r="M58" i="5" l="1"/>
  <c r="O58" i="5" s="1"/>
  <c r="Q58" i="5" s="1"/>
  <c r="N58" i="5"/>
  <c r="P58" i="5" s="1"/>
  <c r="R58" i="5" s="1"/>
  <c r="X58" i="5" l="1"/>
  <c r="Y58" i="5" s="1"/>
  <c r="B59" i="5" s="1"/>
  <c r="C59" i="5" l="1"/>
  <c r="E59" i="5" s="1"/>
  <c r="S59" i="5"/>
  <c r="F59" i="5"/>
  <c r="G59" i="5" s="1"/>
  <c r="H59" i="5" l="1"/>
  <c r="I59" i="5"/>
  <c r="T59" i="5" l="1"/>
  <c r="J59" i="5"/>
  <c r="U59" i="5" l="1"/>
  <c r="W59" i="5" l="1"/>
  <c r="K59" i="5" l="1"/>
  <c r="L59" i="5"/>
  <c r="M59" i="5" l="1"/>
  <c r="O59" i="5" s="1"/>
  <c r="Q59" i="5" s="1"/>
  <c r="N59" i="5"/>
  <c r="P59" i="5" s="1"/>
  <c r="R59" i="5" s="1"/>
  <c r="X59" i="5" l="1"/>
  <c r="Y59" i="5" s="1"/>
  <c r="B60" i="5" s="1"/>
  <c r="C60" i="5" l="1"/>
  <c r="E60" i="5" s="1"/>
  <c r="S60" i="5"/>
  <c r="F60" i="5"/>
  <c r="G60" i="5" s="1"/>
  <c r="H60" i="5" l="1"/>
  <c r="I60" i="5"/>
  <c r="J60" i="5" l="1"/>
  <c r="T60" i="5"/>
  <c r="U60" i="5" l="1"/>
  <c r="W60" i="5" l="1"/>
  <c r="K60" i="5" s="1"/>
  <c r="M60" i="5" l="1"/>
  <c r="O60" i="5" s="1"/>
  <c r="Q60" i="5" s="1"/>
  <c r="L60" i="5"/>
  <c r="N60" i="5" l="1"/>
  <c r="P60" i="5" s="1"/>
  <c r="R60" i="5" s="1"/>
  <c r="X60" i="5" l="1"/>
  <c r="Y60" i="5" s="1"/>
  <c r="B61" i="5" s="1"/>
  <c r="C61" i="5" l="1"/>
  <c r="E61" i="5" s="1"/>
  <c r="S61" i="5"/>
  <c r="F61" i="5"/>
  <c r="G61" i="5" s="1"/>
  <c r="H61" i="5" l="1"/>
  <c r="I61" i="5"/>
  <c r="T61" i="5" l="1"/>
  <c r="J61" i="5"/>
  <c r="U61" i="5" l="1"/>
  <c r="W61" i="5" l="1"/>
  <c r="K61" i="5" l="1"/>
  <c r="L61" i="5"/>
  <c r="M61" i="5" l="1"/>
  <c r="O61" i="5" s="1"/>
  <c r="Q61" i="5" s="1"/>
  <c r="N61" i="5"/>
  <c r="P61" i="5" s="1"/>
  <c r="R61" i="5" s="1"/>
  <c r="X61" i="5" l="1"/>
  <c r="Y61" i="5" s="1"/>
  <c r="B62" i="5" s="1"/>
  <c r="C62" i="5" l="1"/>
  <c r="E62" i="5" s="1"/>
  <c r="S62" i="5"/>
  <c r="F62" i="5"/>
  <c r="G62" i="5" s="1"/>
  <c r="H62" i="5" l="1"/>
  <c r="I62" i="5"/>
  <c r="T62" i="5" l="1"/>
  <c r="J62" i="5"/>
  <c r="U62" i="5" l="1"/>
  <c r="W62" i="5" l="1"/>
  <c r="K62" i="5" s="1"/>
  <c r="M62" i="5" s="1"/>
  <c r="O62" i="5" l="1"/>
  <c r="Q62" i="5" s="1"/>
  <c r="L62" i="5"/>
  <c r="N62" i="5" s="1"/>
  <c r="P62" i="5" l="1"/>
  <c r="R62" i="5" s="1"/>
  <c r="X62" i="5" l="1"/>
  <c r="Y62" i="5" s="1"/>
  <c r="B63" i="5" s="1"/>
  <c r="D63" i="5" s="1"/>
  <c r="F63" i="5" s="1"/>
  <c r="G63" i="5" s="1"/>
  <c r="S63" i="5" l="1"/>
  <c r="C63" i="5"/>
  <c r="E63" i="5" s="1"/>
  <c r="V63" i="5"/>
  <c r="D64" i="5" s="1"/>
  <c r="V64" i="5" s="1"/>
  <c r="H63" i="5"/>
  <c r="I63" i="5" l="1"/>
  <c r="M63" i="5" s="1"/>
  <c r="D65" i="5"/>
  <c r="V65" i="5" s="1"/>
  <c r="D66" i="5" s="1"/>
  <c r="J63" i="5"/>
  <c r="N63" i="5" s="1"/>
  <c r="T63" i="5" l="1"/>
  <c r="O63" i="5" s="1"/>
  <c r="V66" i="5"/>
  <c r="D67" i="5" s="1"/>
  <c r="U63" i="5"/>
  <c r="W63" i="5" l="1"/>
  <c r="K63" i="5" s="1"/>
  <c r="Q63" i="5" s="1"/>
  <c r="V67" i="5"/>
  <c r="D68" i="5" s="1"/>
  <c r="P63" i="5"/>
  <c r="L63" i="5" l="1"/>
  <c r="R63" i="5" s="1"/>
  <c r="V68" i="5"/>
  <c r="D69" i="5" s="1"/>
  <c r="X63" i="5" l="1"/>
  <c r="C64" i="5" s="1"/>
  <c r="V69" i="5"/>
  <c r="Y63" i="5" l="1"/>
  <c r="B64" i="5" s="1"/>
  <c r="F64" i="5" s="1"/>
  <c r="G64" i="5" s="1"/>
  <c r="E64" i="5" l="1"/>
  <c r="S64" i="5"/>
  <c r="I64" i="5"/>
  <c r="T64" i="5" s="1"/>
  <c r="H64" i="5"/>
  <c r="J64" i="5" l="1"/>
  <c r="U64" i="5" l="1"/>
  <c r="W64" i="5" l="1"/>
  <c r="K64" i="5" s="1"/>
  <c r="M64" i="5" l="1"/>
  <c r="O64" i="5" s="1"/>
  <c r="Q64" i="5" s="1"/>
  <c r="L64" i="5"/>
  <c r="N64" i="5" l="1"/>
  <c r="P64" i="5" s="1"/>
  <c r="R64" i="5" s="1"/>
  <c r="X64" i="5" l="1"/>
  <c r="C65" i="5" l="1"/>
  <c r="Y64" i="5"/>
  <c r="B65" i="5" s="1"/>
  <c r="S65" i="5" s="1"/>
  <c r="E65" i="5" l="1"/>
  <c r="F65" i="5"/>
  <c r="G65" i="5" s="1"/>
  <c r="H65" i="5" s="1"/>
  <c r="J65" i="5" s="1"/>
  <c r="I65" i="5" l="1"/>
  <c r="T65" i="5" s="1"/>
  <c r="U65" i="5"/>
  <c r="W65" i="5" l="1"/>
  <c r="K65" i="5" s="1"/>
  <c r="M65" i="5" l="1"/>
  <c r="O65" i="5" s="1"/>
  <c r="Q65" i="5" s="1"/>
  <c r="L65" i="5"/>
  <c r="N65" i="5" l="1"/>
  <c r="P65" i="5" s="1"/>
  <c r="R65" i="5" s="1"/>
  <c r="X65" i="5" l="1"/>
  <c r="C66" i="5" l="1"/>
  <c r="Y65" i="5"/>
  <c r="B66" i="5" s="1"/>
  <c r="S66" i="5" s="1"/>
  <c r="F66" i="5" l="1"/>
  <c r="G66" i="5" s="1"/>
  <c r="I66" i="5" s="1"/>
  <c r="T66" i="5" s="1"/>
  <c r="E66" i="5"/>
  <c r="H66" i="5" l="1"/>
  <c r="J66" i="5" s="1"/>
  <c r="U66" i="5" s="1"/>
  <c r="W66" i="5" l="1"/>
  <c r="K66" i="5" s="1"/>
  <c r="M66" i="5" l="1"/>
  <c r="O66" i="5" s="1"/>
  <c r="Q66" i="5" s="1"/>
  <c r="L66" i="5"/>
  <c r="N66" i="5" l="1"/>
  <c r="P66" i="5" s="1"/>
  <c r="R66" i="5" s="1"/>
  <c r="X66" i="5" l="1"/>
  <c r="C67" i="5" s="1"/>
  <c r="Y66" i="5" l="1"/>
  <c r="B67" i="5" s="1"/>
  <c r="F67" i="5" s="1"/>
  <c r="G67" i="5" s="1"/>
  <c r="H67" i="5" s="1"/>
  <c r="I67" i="5" l="1"/>
  <c r="T67" i="5" s="1"/>
  <c r="E67" i="5"/>
  <c r="S67" i="5"/>
  <c r="J67" i="5"/>
  <c r="U67" i="5" l="1"/>
  <c r="W67" i="5" l="1"/>
  <c r="K67" i="5" l="1"/>
  <c r="L67" i="5"/>
  <c r="M67" i="5" l="1"/>
  <c r="O67" i="5" s="1"/>
  <c r="Q67" i="5" s="1"/>
  <c r="N67" i="5"/>
  <c r="P67" i="5" s="1"/>
  <c r="R67" i="5" s="1"/>
  <c r="X67" i="5" l="1"/>
  <c r="Y67" i="5" l="1"/>
  <c r="B68" i="5" s="1"/>
  <c r="C68" i="5"/>
  <c r="E68" i="5" l="1"/>
  <c r="S68" i="5"/>
  <c r="F68" i="5"/>
  <c r="G68" i="5" s="1"/>
  <c r="H68" i="5" l="1"/>
  <c r="I68" i="5"/>
  <c r="T68" i="5" l="1"/>
  <c r="J68" i="5"/>
  <c r="U68" i="5" l="1"/>
  <c r="W68" i="5" l="1"/>
  <c r="K68" i="5" l="1"/>
  <c r="L68" i="5"/>
  <c r="N68" i="5" l="1"/>
  <c r="P68" i="5" s="1"/>
  <c r="R68" i="5" s="1"/>
  <c r="M68" i="5"/>
  <c r="O68" i="5" s="1"/>
  <c r="Q68" i="5" s="1"/>
  <c r="X68" i="5" l="1"/>
  <c r="Y68" i="5" s="1"/>
  <c r="B69" i="5" s="1"/>
  <c r="C69" i="5" l="1"/>
  <c r="E69" i="5" s="1"/>
  <c r="S69" i="5"/>
  <c r="F69" i="5"/>
  <c r="G69" i="5" s="1"/>
  <c r="H69" i="5" l="1"/>
  <c r="I69" i="5"/>
  <c r="T69" i="5" l="1"/>
  <c r="J69" i="5"/>
  <c r="U69" i="5" l="1"/>
  <c r="W69" i="5" l="1"/>
  <c r="K69" i="5" l="1"/>
  <c r="M69" i="5" s="1"/>
  <c r="L69" i="5"/>
  <c r="N69" i="5" s="1"/>
  <c r="P69" i="5" l="1"/>
  <c r="R69" i="5" s="1"/>
  <c r="O69" i="5"/>
  <c r="Q69" i="5" s="1"/>
  <c r="X69" i="5" l="1"/>
  <c r="Y69" i="5" s="1"/>
  <c r="B70" i="5" s="1"/>
  <c r="D70" i="5" s="1"/>
  <c r="C70" i="5" l="1"/>
  <c r="E70" i="5" s="1"/>
  <c r="S70" i="5"/>
  <c r="F70" i="5"/>
  <c r="G70" i="5" s="1"/>
  <c r="V70" i="5"/>
  <c r="D71" i="5" s="1"/>
  <c r="I70" i="5" l="1"/>
  <c r="M70" i="5" s="1"/>
  <c r="V71" i="5"/>
  <c r="D72" i="5" s="1"/>
  <c r="H70" i="5"/>
  <c r="T70" i="5" l="1"/>
  <c r="O70" i="5" s="1"/>
  <c r="J70" i="5"/>
  <c r="N70" i="5" s="1"/>
  <c r="V72" i="5"/>
  <c r="D73" i="5" s="1"/>
  <c r="V73" i="5" l="1"/>
  <c r="D74" i="5" s="1"/>
  <c r="U70" i="5"/>
  <c r="W70" i="5" l="1"/>
  <c r="K70" i="5" s="1"/>
  <c r="Q70" i="5" s="1"/>
  <c r="P70" i="5"/>
  <c r="V74" i="5"/>
  <c r="D75" i="5" s="1"/>
  <c r="L70" i="5" l="1"/>
  <c r="R70" i="5" s="1"/>
  <c r="V75" i="5"/>
  <c r="D76" i="5" s="1"/>
  <c r="X70" i="5" l="1"/>
  <c r="V76" i="5"/>
  <c r="Y70" i="5" l="1"/>
  <c r="B71" i="5" s="1"/>
  <c r="C71" i="5"/>
  <c r="E71" i="5" l="1"/>
  <c r="F71" i="5"/>
  <c r="G71" i="5" s="1"/>
  <c r="S71" i="5"/>
  <c r="H71" i="5" l="1"/>
  <c r="J71" i="5" s="1"/>
  <c r="I71" i="5"/>
  <c r="T71" i="5" s="1"/>
  <c r="U71" i="5" l="1"/>
  <c r="W71" i="5" l="1"/>
  <c r="K71" i="5" s="1"/>
  <c r="M71" i="5" l="1"/>
  <c r="O71" i="5" s="1"/>
  <c r="Q71" i="5" s="1"/>
  <c r="L71" i="5"/>
  <c r="N71" i="5" l="1"/>
  <c r="P71" i="5" s="1"/>
  <c r="R71" i="5" s="1"/>
  <c r="X71" i="5" l="1"/>
  <c r="Y71" i="5" l="1"/>
  <c r="B72" i="5" s="1"/>
  <c r="C72" i="5"/>
  <c r="E72" i="5" l="1"/>
  <c r="F72" i="5"/>
  <c r="G72" i="5" s="1"/>
  <c r="H72" i="5" s="1"/>
  <c r="J72" i="5" s="1"/>
  <c r="S72" i="5"/>
  <c r="I72" i="5" l="1"/>
  <c r="T72" i="5" s="1"/>
  <c r="U72" i="5"/>
  <c r="W72" i="5" l="1"/>
  <c r="K72" i="5" l="1"/>
  <c r="L72" i="5"/>
  <c r="M72" i="5" l="1"/>
  <c r="O72" i="5" s="1"/>
  <c r="Q72" i="5" s="1"/>
  <c r="N72" i="5"/>
  <c r="P72" i="5" s="1"/>
  <c r="R72" i="5" s="1"/>
  <c r="X72" i="5" l="1"/>
  <c r="Y72" i="5" l="1"/>
  <c r="B73" i="5" s="1"/>
  <c r="C73" i="5"/>
  <c r="E73" i="5" l="1"/>
  <c r="S73" i="5"/>
  <c r="F73" i="5"/>
  <c r="G73" i="5" s="1"/>
  <c r="H73" i="5" l="1"/>
  <c r="I73" i="5"/>
  <c r="T73" i="5" l="1"/>
  <c r="J73" i="5"/>
  <c r="U73" i="5" l="1"/>
  <c r="W73" i="5" l="1"/>
  <c r="K73" i="5" s="1"/>
  <c r="M73" i="5" l="1"/>
  <c r="O73" i="5" s="1"/>
  <c r="Q73" i="5" s="1"/>
  <c r="L73" i="5"/>
  <c r="N73" i="5" l="1"/>
  <c r="P73" i="5" s="1"/>
  <c r="R73" i="5" s="1"/>
  <c r="X73" i="5" l="1"/>
  <c r="Y73" i="5" l="1"/>
  <c r="B74" i="5" s="1"/>
  <c r="F74" i="5" s="1"/>
  <c r="G74" i="5" s="1"/>
  <c r="C74" i="5"/>
  <c r="E74" i="5" l="1"/>
  <c r="S74" i="5"/>
  <c r="H74" i="5"/>
  <c r="I74" i="5"/>
  <c r="T74" i="5" l="1"/>
  <c r="J74" i="5"/>
  <c r="U74" i="5" l="1"/>
  <c r="W74" i="5" l="1"/>
  <c r="K74" i="5" s="1"/>
  <c r="M74" i="5" l="1"/>
  <c r="O74" i="5" s="1"/>
  <c r="Q74" i="5" s="1"/>
  <c r="L74" i="5"/>
  <c r="N74" i="5" l="1"/>
  <c r="P74" i="5" s="1"/>
  <c r="R74" i="5" s="1"/>
  <c r="X74" i="5" l="1"/>
  <c r="Y74" i="5" s="1"/>
  <c r="B75" i="5" s="1"/>
  <c r="C75" i="5" l="1"/>
  <c r="E75" i="5" s="1"/>
  <c r="S75" i="5"/>
  <c r="F75" i="5"/>
  <c r="G75" i="5" s="1"/>
  <c r="H75" i="5" l="1"/>
  <c r="I75" i="5"/>
  <c r="T75" i="5" l="1"/>
  <c r="J75" i="5"/>
  <c r="U75" i="5" l="1"/>
  <c r="W75" i="5" l="1"/>
  <c r="K75" i="5" l="1"/>
  <c r="L75" i="5"/>
  <c r="M75" i="5" l="1"/>
  <c r="O75" i="5" s="1"/>
  <c r="Q75" i="5" s="1"/>
  <c r="N75" i="5"/>
  <c r="P75" i="5" s="1"/>
  <c r="R75" i="5" s="1"/>
  <c r="X75" i="5" l="1"/>
  <c r="Y75" i="5" s="1"/>
  <c r="B76" i="5" s="1"/>
  <c r="C76" i="5" l="1"/>
  <c r="E76" i="5" s="1"/>
  <c r="S76" i="5"/>
  <c r="F76" i="5"/>
  <c r="G76" i="5" s="1"/>
  <c r="H76" i="5" l="1"/>
  <c r="I76" i="5"/>
  <c r="T76" i="5" l="1"/>
  <c r="J76" i="5"/>
  <c r="U76" i="5" l="1"/>
  <c r="W76" i="5" l="1"/>
  <c r="K76" i="5" s="1"/>
  <c r="M76" i="5" s="1"/>
  <c r="L76" i="5" l="1"/>
  <c r="O76" i="5"/>
  <c r="Q76" i="5" s="1"/>
  <c r="N76" i="5" l="1"/>
  <c r="P76" i="5" s="1"/>
  <c r="R76" i="5" s="1"/>
  <c r="X76" i="5" l="1"/>
  <c r="Y76" i="5" s="1"/>
  <c r="B77" i="5" s="1"/>
  <c r="C77" i="5" s="1"/>
  <c r="E77" i="5" s="1"/>
  <c r="S77" i="5" l="1"/>
  <c r="D77" i="5"/>
  <c r="F77" i="5" s="1"/>
  <c r="G77" i="5" s="1"/>
  <c r="H77" i="5" s="1"/>
  <c r="I77" i="5" l="1"/>
  <c r="M77" i="5" s="1"/>
  <c r="V77" i="5"/>
  <c r="D78" i="5" s="1"/>
  <c r="V78" i="5" s="1"/>
  <c r="J77" i="5"/>
  <c r="N77" i="5" s="1"/>
  <c r="D79" i="5" l="1"/>
  <c r="V79" i="5" s="1"/>
  <c r="D80" i="5" s="1"/>
  <c r="V80" i="5" s="1"/>
  <c r="D81" i="5" s="1"/>
  <c r="T77" i="5"/>
  <c r="O77" i="5" s="1"/>
  <c r="U77" i="5"/>
  <c r="V81" i="5" l="1"/>
  <c r="D82" i="5" s="1"/>
  <c r="W77" i="5"/>
  <c r="P77" i="5"/>
  <c r="V82" i="5" l="1"/>
  <c r="D83" i="5" s="1"/>
  <c r="K77" i="5"/>
  <c r="Q77" i="5" s="1"/>
  <c r="L77" i="5"/>
  <c r="R77" i="5" s="1"/>
  <c r="X77" i="5" l="1"/>
  <c r="C78" i="5" s="1"/>
  <c r="V83" i="5"/>
  <c r="Y77" i="5" l="1"/>
  <c r="B78" i="5" s="1"/>
  <c r="S78" i="5" s="1"/>
  <c r="E78" i="5" l="1"/>
  <c r="F78" i="5"/>
  <c r="G78" i="5" s="1"/>
  <c r="I78" i="5" l="1"/>
  <c r="T78" i="5" s="1"/>
  <c r="H78" i="5"/>
  <c r="J78" i="5" l="1"/>
  <c r="U78" i="5" s="1"/>
  <c r="W78" i="5" l="1"/>
  <c r="K78" i="5" l="1"/>
  <c r="L78" i="5"/>
  <c r="N78" i="5" l="1"/>
  <c r="P78" i="5" s="1"/>
  <c r="R78" i="5" s="1"/>
  <c r="M78" i="5"/>
  <c r="O78" i="5" s="1"/>
  <c r="Q78" i="5" s="1"/>
  <c r="X78" i="5" l="1"/>
  <c r="C79" i="5" s="1"/>
  <c r="Y78" i="5" l="1"/>
  <c r="B79" i="5" s="1"/>
  <c r="S79" i="5" s="1"/>
  <c r="E79" i="5" l="1"/>
  <c r="F79" i="5"/>
  <c r="G79" i="5" s="1"/>
  <c r="H79" i="5" l="1"/>
  <c r="J79" i="5" s="1"/>
  <c r="I79" i="5"/>
  <c r="T79" i="5" s="1"/>
  <c r="U79" i="5" l="1"/>
  <c r="W79" i="5" l="1"/>
  <c r="L79" i="5" l="1"/>
  <c r="K79" i="5"/>
  <c r="N79" i="5" l="1"/>
  <c r="P79" i="5" s="1"/>
  <c r="R79" i="5" s="1"/>
  <c r="M79" i="5"/>
  <c r="O79" i="5" s="1"/>
  <c r="Q79" i="5" s="1"/>
  <c r="X79" i="5" l="1"/>
  <c r="Y79" i="5" s="1"/>
  <c r="B80" i="5" s="1"/>
  <c r="C80" i="5" l="1"/>
  <c r="E80" i="5" s="1"/>
  <c r="S80" i="5"/>
  <c r="F80" i="5"/>
  <c r="G80" i="5" s="1"/>
  <c r="H80" i="5" l="1"/>
  <c r="I80" i="5"/>
  <c r="T80" i="5" l="1"/>
  <c r="J80" i="5"/>
  <c r="U80" i="5" l="1"/>
  <c r="W80" i="5" l="1"/>
  <c r="K80" i="5" l="1"/>
  <c r="L80" i="5"/>
  <c r="N80" i="5" l="1"/>
  <c r="P80" i="5" s="1"/>
  <c r="R80" i="5" s="1"/>
  <c r="M80" i="5"/>
  <c r="O80" i="5" s="1"/>
  <c r="Q80" i="5" s="1"/>
  <c r="X80" i="5" l="1"/>
  <c r="C81" i="5" l="1"/>
  <c r="Y80" i="5"/>
  <c r="B81" i="5" l="1"/>
  <c r="F81" i="5" s="1"/>
  <c r="G81" i="5" s="1"/>
  <c r="L6" i="5" a="1"/>
  <c r="L6" i="5" s="1"/>
  <c r="L7" i="5" s="1"/>
  <c r="L8" i="5" s="1"/>
  <c r="S81" i="5" l="1"/>
  <c r="E81" i="5"/>
  <c r="H81" i="5"/>
  <c r="I81" i="5"/>
  <c r="T81" i="5" l="1"/>
  <c r="J81" i="5"/>
  <c r="U81" i="5" l="1"/>
  <c r="W81" i="5" l="1"/>
  <c r="K81" i="5" s="1"/>
  <c r="M81" i="5" l="1"/>
  <c r="O81" i="5" s="1"/>
  <c r="Q81" i="5" s="1"/>
  <c r="L81" i="5"/>
  <c r="N81" i="5" l="1"/>
  <c r="P81" i="5" s="1"/>
  <c r="R81" i="5" s="1"/>
  <c r="X81" i="5" l="1"/>
  <c r="Y81" i="5" l="1"/>
  <c r="B82" i="5" s="1"/>
  <c r="C82" i="5"/>
  <c r="F82" i="5" l="1"/>
  <c r="G82" i="5" s="1"/>
  <c r="S82" i="5"/>
  <c r="E82" i="5"/>
  <c r="I82" i="5" l="1"/>
  <c r="T82" i="5" s="1"/>
  <c r="H82" i="5"/>
  <c r="J82" i="5" s="1"/>
  <c r="U82" i="5" s="1"/>
  <c r="W82" i="5" l="1"/>
  <c r="K82" i="5" l="1"/>
  <c r="L82" i="5"/>
  <c r="M82" i="5" l="1"/>
  <c r="O82" i="5" s="1"/>
  <c r="Q82" i="5" s="1"/>
  <c r="N82" i="5"/>
  <c r="P82" i="5" s="1"/>
  <c r="R82" i="5" s="1"/>
  <c r="X82" i="5" l="1"/>
  <c r="C83" i="5" s="1"/>
  <c r="Y82" i="5" l="1"/>
  <c r="B83" i="5" s="1"/>
  <c r="S83" i="5" s="1"/>
  <c r="E83" i="5" l="1"/>
  <c r="F83" i="5"/>
  <c r="G83" i="5" s="1"/>
  <c r="H83" i="5" s="1"/>
  <c r="I83" i="5" l="1"/>
  <c r="T83" i="5" s="1"/>
  <c r="J83" i="5"/>
  <c r="U83" i="5" l="1"/>
  <c r="W83" i="5" l="1"/>
  <c r="K83" i="5" s="1"/>
  <c r="M83" i="5" s="1"/>
  <c r="O83" i="5" l="1"/>
  <c r="Q83" i="5" s="1"/>
  <c r="L83" i="5"/>
  <c r="N83" i="5" s="1"/>
  <c r="P83" i="5" l="1"/>
  <c r="R83" i="5" s="1"/>
  <c r="X83" i="5" l="1"/>
  <c r="Y83" i="5" s="1"/>
  <c r="B84" i="5" s="1"/>
  <c r="D84" i="5" s="1"/>
  <c r="V84" i="5" s="1"/>
  <c r="D85" i="5" s="1"/>
  <c r="S84" i="5" l="1"/>
  <c r="C84" i="5"/>
  <c r="E84" i="5" s="1"/>
  <c r="F84" i="5"/>
  <c r="G84" i="5" s="1"/>
  <c r="V85" i="5"/>
  <c r="D86" i="5" s="1"/>
  <c r="H84" i="5" l="1"/>
  <c r="J84" i="5" s="1"/>
  <c r="I84" i="5"/>
  <c r="M84" i="5" s="1"/>
  <c r="V86" i="5"/>
  <c r="D87" i="5" s="1"/>
  <c r="N84" i="5" l="1"/>
  <c r="T84" i="5"/>
  <c r="O84" i="5" s="1"/>
  <c r="V87" i="5"/>
  <c r="D88" i="5" s="1"/>
  <c r="U84" i="5"/>
  <c r="P84" i="5" l="1"/>
  <c r="V88" i="5"/>
  <c r="D89" i="5" s="1"/>
  <c r="W84" i="5"/>
  <c r="K84" i="5" s="1"/>
  <c r="Q84" i="5" s="1"/>
  <c r="L84" i="5" l="1"/>
  <c r="R84" i="5" s="1"/>
  <c r="V89" i="5"/>
  <c r="D90" i="5" s="1"/>
  <c r="X84" i="5" l="1"/>
  <c r="V90" i="5"/>
  <c r="Y84" i="5" l="1"/>
  <c r="B85" i="5" s="1"/>
  <c r="C85" i="5"/>
  <c r="E85" i="5" l="1"/>
  <c r="F85" i="5"/>
  <c r="G85" i="5" s="1"/>
  <c r="H85" i="5" s="1"/>
  <c r="S85" i="5"/>
  <c r="I85" i="5" l="1"/>
  <c r="T85" i="5" s="1"/>
  <c r="J85" i="5"/>
  <c r="U85" i="5" l="1"/>
  <c r="W85" i="5" l="1"/>
  <c r="K85" i="5" l="1"/>
  <c r="L85" i="5"/>
  <c r="M85" i="5" l="1"/>
  <c r="O85" i="5" s="1"/>
  <c r="Q85" i="5" s="1"/>
  <c r="N85" i="5"/>
  <c r="P85" i="5" s="1"/>
  <c r="R85" i="5" s="1"/>
  <c r="X85" i="5" l="1"/>
  <c r="C86" i="5" l="1"/>
  <c r="Y85" i="5"/>
  <c r="B86" i="5" s="1"/>
  <c r="S86" i="5" l="1"/>
  <c r="F86" i="5"/>
  <c r="G86" i="5" s="1"/>
  <c r="E86" i="5"/>
  <c r="H86" i="5" l="1"/>
  <c r="I86" i="5"/>
  <c r="T86" i="5" l="1"/>
  <c r="J86" i="5"/>
  <c r="U86" i="5" l="1"/>
  <c r="W86" i="5" l="1"/>
  <c r="K86" i="5" l="1"/>
  <c r="L86" i="5"/>
  <c r="N86" i="5" l="1"/>
  <c r="P86" i="5" s="1"/>
  <c r="R86" i="5" s="1"/>
  <c r="M86" i="5"/>
  <c r="O86" i="5" s="1"/>
  <c r="Q86" i="5" s="1"/>
  <c r="X86" i="5" l="1"/>
  <c r="C87" i="5" s="1"/>
  <c r="Y86" i="5" l="1"/>
  <c r="B87" i="5" s="1"/>
  <c r="E87" i="5" s="1"/>
  <c r="F87" i="5" l="1"/>
  <c r="G87" i="5" s="1"/>
  <c r="S87" i="5"/>
  <c r="H87" i="5" l="1"/>
  <c r="J87" i="5" s="1"/>
  <c r="I87" i="5"/>
  <c r="T87" i="5" s="1"/>
  <c r="U87" i="5" l="1"/>
  <c r="W87" i="5" l="1"/>
  <c r="K87" i="5" s="1"/>
  <c r="M87" i="5" l="1"/>
  <c r="O87" i="5" s="1"/>
  <c r="Q87" i="5" s="1"/>
  <c r="L87" i="5"/>
  <c r="N87" i="5" l="1"/>
  <c r="P87" i="5" s="1"/>
  <c r="R87" i="5" s="1"/>
  <c r="X87" i="5" l="1"/>
  <c r="Y87" i="5" l="1"/>
  <c r="B88" i="5" s="1"/>
  <c r="C88" i="5"/>
  <c r="E88" i="5" l="1"/>
  <c r="F88" i="5"/>
  <c r="G88" i="5" s="1"/>
  <c r="H88" i="5" s="1"/>
  <c r="J88" i="5" s="1"/>
  <c r="S88" i="5"/>
  <c r="I88" i="5" l="1"/>
  <c r="T88" i="5" s="1"/>
  <c r="U88" i="5"/>
  <c r="W88" i="5" l="1"/>
  <c r="K88" i="5" s="1"/>
  <c r="M88" i="5" l="1"/>
  <c r="O88" i="5" s="1"/>
  <c r="Q88" i="5" s="1"/>
  <c r="L88" i="5"/>
  <c r="N88" i="5" l="1"/>
  <c r="P88" i="5" s="1"/>
  <c r="R88" i="5" s="1"/>
  <c r="X88" i="5" l="1"/>
  <c r="Y88" i="5" l="1"/>
  <c r="B89" i="5" s="1"/>
  <c r="S89" i="5" s="1"/>
  <c r="C89" i="5"/>
  <c r="F89" i="5" l="1"/>
  <c r="G89" i="5" s="1"/>
  <c r="I89" i="5" s="1"/>
  <c r="T89" i="5" s="1"/>
  <c r="E89" i="5"/>
  <c r="H89" i="5" l="1"/>
  <c r="J89" i="5" s="1"/>
  <c r="U89" i="5" l="1"/>
  <c r="W89" i="5" l="1"/>
  <c r="K89" i="5" s="1"/>
  <c r="M89" i="5" l="1"/>
  <c r="O89" i="5" s="1"/>
  <c r="Q89" i="5" s="1"/>
  <c r="L89" i="5"/>
  <c r="N89" i="5" l="1"/>
  <c r="P89" i="5" s="1"/>
  <c r="R89" i="5" s="1"/>
  <c r="X89" i="5" l="1"/>
  <c r="Y89" i="5" l="1"/>
  <c r="B90" i="5" s="1"/>
  <c r="S90" i="5" s="1"/>
  <c r="C90" i="5"/>
  <c r="F90" i="5" l="1"/>
  <c r="G90" i="5" s="1"/>
  <c r="H90" i="5" s="1"/>
  <c r="E90" i="5"/>
  <c r="I90" i="5" l="1"/>
  <c r="T90" i="5" s="1"/>
  <c r="J90" i="5"/>
  <c r="U90" i="5" l="1"/>
  <c r="W90" i="5" l="1"/>
  <c r="K90" i="5" l="1"/>
  <c r="M90" i="5" s="1"/>
  <c r="L90" i="5"/>
  <c r="N90" i="5" s="1"/>
  <c r="P90" i="5" l="1"/>
  <c r="R90" i="5" s="1"/>
  <c r="O90" i="5"/>
  <c r="Q90" i="5" s="1"/>
  <c r="X90" i="5" l="1"/>
  <c r="Y90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gubia</author>
  </authors>
  <commentList>
    <comment ref="P2" authorId="0" shapeId="0" xr:uid="{7A4DE436-1DDD-4BDE-9276-47CDC63EFDC0}">
      <text>
        <r>
          <rPr>
            <b/>
            <sz val="9"/>
            <color indexed="81"/>
            <rFont val="Segoe UI"/>
            <family val="2"/>
          </rPr>
          <t>gubia:</t>
        </r>
        <r>
          <rPr>
            <sz val="9"/>
            <color indexed="81"/>
            <rFont val="Segoe UI"/>
            <family val="2"/>
          </rPr>
          <t xml:space="preserve">
Retorno com imposto já descontado para facilitar os calculos.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<sst xmlns="http://schemas.openxmlformats.org/spreadsheetml/2006/main" count="292" uniqueCount="141">
  <si>
    <t>Private Equity Returns</t>
  </si>
  <si>
    <t>S&amp;P500</t>
  </si>
  <si>
    <t>Treasury Bond (10 anos)</t>
  </si>
  <si>
    <t>Parâmetro</t>
  </si>
  <si>
    <t>Inflação</t>
  </si>
  <si>
    <t>Ano</t>
  </si>
  <si>
    <t>Patrimônio Final</t>
  </si>
  <si>
    <t>Patrimônio Inicial</t>
  </si>
  <si>
    <t>Gastos</t>
  </si>
  <si>
    <t>ITCMD</t>
  </si>
  <si>
    <t>Idade Inicial</t>
  </si>
  <si>
    <t>Peso_ILIQ</t>
  </si>
  <si>
    <t>Valor padrão</t>
  </si>
  <si>
    <t>Descrição</t>
  </si>
  <si>
    <t>Peso_LIQ</t>
  </si>
  <si>
    <t>Mix_RV_dentro_LIQ</t>
  </si>
  <si>
    <t>Mix_RF_dentro_LIQ</t>
  </si>
  <si>
    <t>Taxa_RF</t>
  </si>
  <si>
    <t>Taxa_RV</t>
  </si>
  <si>
    <t>Taxa_ILIQ</t>
  </si>
  <si>
    <t>Gastos%</t>
  </si>
  <si>
    <t>IR</t>
  </si>
  <si>
    <t>Ano_Liquidez</t>
  </si>
  <si>
    <t>Ciclo de travamento dos ilíquidos</t>
  </si>
  <si>
    <t>Peso_Max_ILIQ</t>
  </si>
  <si>
    <t>Acionador para reduzir risco (liquidity-aware)</t>
  </si>
  <si>
    <t>Patrimônio ILIQ</t>
  </si>
  <si>
    <t>Patrimônio RF</t>
  </si>
  <si>
    <t>% RV + RF</t>
  </si>
  <si>
    <t>% ILIQ</t>
  </si>
  <si>
    <t>% RV (dentro de RF + RV)</t>
  </si>
  <si>
    <t>% RF (dentro de RF + RV)</t>
  </si>
  <si>
    <t>Patrimônio RV</t>
  </si>
  <si>
    <t>Inflação Acumulada</t>
  </si>
  <si>
    <t>Patrimônio Corrigido pela Inflação</t>
  </si>
  <si>
    <t>Impostos</t>
  </si>
  <si>
    <t>Patrimônio RF + RV Inicial</t>
  </si>
  <si>
    <t>Rendimento RF</t>
  </si>
  <si>
    <t>Rendimento RV</t>
  </si>
  <si>
    <t>Rendimento ILIQ</t>
  </si>
  <si>
    <t>Fase da Vida</t>
  </si>
  <si>
    <t>Jovem Profissional</t>
  </si>
  <si>
    <t>Familia em Crescimento</t>
  </si>
  <si>
    <t>Aposentadoria</t>
  </si>
  <si>
    <t>% Gastos</t>
  </si>
  <si>
    <t>% MAX ILIQ</t>
  </si>
  <si>
    <t>% alvo do patrimônio em Ilíquidos</t>
  </si>
  <si>
    <t>% alvo do patrimônio em RV + RF</t>
  </si>
  <si>
    <t>% inicial de alocação em RV dentro dos ativos Líquidos</t>
  </si>
  <si>
    <t>% inicial de alocação em RF /dentro dos ativos Líquidos</t>
  </si>
  <si>
    <t>Rendimento da Renda Fixa</t>
  </si>
  <si>
    <t>Rendimento da Renda variável</t>
  </si>
  <si>
    <t>Rendimento dos ilíquidos</t>
  </si>
  <si>
    <t>% do patrimônio que o cliente gasta anualmente</t>
  </si>
  <si>
    <t>Imposto sobre o ganho realizado</t>
  </si>
  <si>
    <t>Imposto sobre a herança</t>
  </si>
  <si>
    <t>Patrimônio inicial do cliente</t>
  </si>
  <si>
    <t>Expectativa de Vida</t>
  </si>
  <si>
    <t>Expectativa de vida do cliente</t>
  </si>
  <si>
    <t>Idade do cliente no momento de contratação</t>
  </si>
  <si>
    <t>Fase da Vida:</t>
  </si>
  <si>
    <t>Herança (após ITCMD)</t>
  </si>
  <si>
    <t>Herança target</t>
  </si>
  <si>
    <t>Desvio Padrão</t>
  </si>
  <si>
    <t>Total</t>
  </si>
  <si>
    <t>Desvio Padrão do Portifolio</t>
  </si>
  <si>
    <t>Retorno Esperado do Portifolio</t>
  </si>
  <si>
    <r>
      <rPr>
        <b/>
        <sz val="20"/>
        <color theme="1"/>
        <rFont val="Aptos Narrow"/>
        <family val="2"/>
        <scheme val="minor"/>
      </rPr>
      <t>w</t>
    </r>
    <r>
      <rPr>
        <sz val="11"/>
        <color theme="1"/>
        <rFont val="Aptos Narrow"/>
        <family val="2"/>
        <scheme val="minor"/>
      </rPr>
      <t>Private</t>
    </r>
  </si>
  <si>
    <r>
      <rPr>
        <b/>
        <sz val="20"/>
        <color theme="1"/>
        <rFont val="Aptos Narrow"/>
        <family val="2"/>
        <scheme val="minor"/>
      </rPr>
      <t>w</t>
    </r>
    <r>
      <rPr>
        <sz val="11"/>
        <color theme="1"/>
        <rFont val="Aptos Narrow"/>
        <family val="2"/>
        <scheme val="minor"/>
      </rPr>
      <t>S&amp;P500</t>
    </r>
  </si>
  <si>
    <r>
      <rPr>
        <b/>
        <sz val="20"/>
        <color theme="1"/>
        <rFont val="Aptos Narrow"/>
        <family val="2"/>
        <scheme val="minor"/>
      </rPr>
      <t>w</t>
    </r>
    <r>
      <rPr>
        <sz val="11"/>
        <color theme="1"/>
        <rFont val="Aptos Narrow"/>
        <family val="2"/>
        <scheme val="minor"/>
      </rPr>
      <t>Treasury</t>
    </r>
  </si>
  <si>
    <t>Retorno Histórico</t>
  </si>
  <si>
    <t>Retorno Esperado (premissa)</t>
  </si>
  <si>
    <r>
      <rPr>
        <b/>
        <sz val="16"/>
        <color theme="1"/>
        <rFont val="Aptos Narrow"/>
        <family val="2"/>
        <scheme val="minor"/>
      </rPr>
      <t>w</t>
    </r>
    <r>
      <rPr>
        <sz val="9"/>
        <color theme="1"/>
        <rFont val="Aptos Narrow"/>
        <family val="2"/>
        <scheme val="minor"/>
      </rPr>
      <t>Private</t>
    </r>
  </si>
  <si>
    <r>
      <rPr>
        <b/>
        <sz val="16"/>
        <color theme="1"/>
        <rFont val="Aptos Narrow"/>
        <family val="2"/>
        <scheme val="minor"/>
      </rPr>
      <t>w</t>
    </r>
    <r>
      <rPr>
        <sz val="9"/>
        <color theme="1"/>
        <rFont val="Aptos Narrow"/>
        <family val="2"/>
        <scheme val="minor"/>
      </rPr>
      <t>S&amp;P500</t>
    </r>
  </si>
  <si>
    <r>
      <rPr>
        <b/>
        <sz val="16"/>
        <color theme="1"/>
        <rFont val="Aptos Narrow"/>
        <family val="2"/>
        <scheme val="minor"/>
      </rPr>
      <t>w</t>
    </r>
    <r>
      <rPr>
        <sz val="9"/>
        <color theme="1"/>
        <rFont val="Aptos Narrow"/>
        <family val="2"/>
        <scheme val="minor"/>
      </rPr>
      <t>Treasury</t>
    </r>
  </si>
  <si>
    <t>Portifólio de Variância Mínima Global</t>
  </si>
  <si>
    <t>Gastos Anuais:</t>
  </si>
  <si>
    <t>Inflação:</t>
  </si>
  <si>
    <t>Retorno Target (Inflação acumulada + 1%):</t>
  </si>
  <si>
    <t>Expectativa de Vida:</t>
  </si>
  <si>
    <t>Retorno Ajustado com Gastos:</t>
  </si>
  <si>
    <t>Alocação Ótima Aposentadoria (Mínima Variância)</t>
  </si>
  <si>
    <t>0 = Portifólio de Mínima Variância</t>
  </si>
  <si>
    <t>Portifólio de Aplicação Ótima</t>
  </si>
  <si>
    <t>Taxa Livre de Retorno Anual (EUA):</t>
  </si>
  <si>
    <t>Sharpe:</t>
  </si>
  <si>
    <t>Coeficiente Mínima Variância - Aplicação Ótima:</t>
  </si>
  <si>
    <t>1 = Aplicação Ótimca</t>
  </si>
  <si>
    <t>Alocação de Mínima Variância - Jovem Profissional</t>
  </si>
  <si>
    <t>Alocação de Mínima Variância - Família em Crescimento</t>
  </si>
  <si>
    <t>% Base de Renda Fixa</t>
  </si>
  <si>
    <t>% Base de Renda Variável</t>
  </si>
  <si>
    <t>% Base de ILIQ</t>
  </si>
  <si>
    <t>fonte: dados providenciados pelos organizadores</t>
  </si>
  <si>
    <t>Medidas</t>
  </si>
  <si>
    <t>Correlação</t>
  </si>
  <si>
    <t>Pares</t>
  </si>
  <si>
    <r>
      <rPr>
        <b/>
        <i/>
        <sz val="12"/>
        <color theme="1"/>
        <rFont val="Aptos Narrow"/>
        <family val="2"/>
        <scheme val="minor"/>
      </rPr>
      <t>Private Equity</t>
    </r>
    <r>
      <rPr>
        <b/>
        <sz val="12"/>
        <color theme="1"/>
        <rFont val="Aptos Narrow"/>
        <family val="2"/>
        <scheme val="minor"/>
      </rPr>
      <t xml:space="preserve">  X </t>
    </r>
    <r>
      <rPr>
        <b/>
        <i/>
        <sz val="12"/>
        <color theme="1"/>
        <rFont val="Aptos Narrow"/>
        <family val="2"/>
        <scheme val="minor"/>
      </rPr>
      <t xml:space="preserve"> S&amp;P500</t>
    </r>
  </si>
  <si>
    <r>
      <t xml:space="preserve">Equity  X  </t>
    </r>
    <r>
      <rPr>
        <b/>
        <i/>
        <sz val="12"/>
        <color theme="1"/>
        <rFont val="Aptos Narrow"/>
        <family val="2"/>
        <scheme val="minor"/>
      </rPr>
      <t>Treasury Bond</t>
    </r>
  </si>
  <si>
    <r>
      <rPr>
        <b/>
        <i/>
        <sz val="12"/>
        <color theme="1"/>
        <rFont val="Aptos Narrow"/>
        <family val="2"/>
        <scheme val="minor"/>
      </rPr>
      <t>S&amp;P500</t>
    </r>
    <r>
      <rPr>
        <b/>
        <sz val="12"/>
        <color theme="1"/>
        <rFont val="Aptos Narrow"/>
        <family val="2"/>
        <scheme val="minor"/>
      </rPr>
      <t xml:space="preserve">  X  </t>
    </r>
    <r>
      <rPr>
        <b/>
        <i/>
        <sz val="12"/>
        <color theme="1"/>
        <rFont val="Aptos Narrow"/>
        <family val="2"/>
        <scheme val="minor"/>
      </rPr>
      <t>Treasury Bond</t>
    </r>
  </si>
  <si>
    <t>Utilizamos a seguinte fórmula para obter o Desvio Padrão de um portifólio com as 3 classes:</t>
  </si>
  <si>
    <t>Retorno -  Impostos (15%)</t>
  </si>
  <si>
    <t>1. Retornos Históricos</t>
  </si>
  <si>
    <t>2. Medidas da Amostra Histórica</t>
  </si>
  <si>
    <t>1 = Aplicação Ótima</t>
  </si>
  <si>
    <r>
      <rPr>
        <b/>
        <sz val="16"/>
        <color theme="1"/>
        <rFont val="Aptos Narrow"/>
        <family val="2"/>
        <scheme val="minor"/>
      </rPr>
      <t>w</t>
    </r>
    <r>
      <rPr>
        <b/>
        <sz val="9"/>
        <color theme="1"/>
        <rFont val="Aptos Narrow"/>
        <family val="2"/>
        <scheme val="minor"/>
      </rPr>
      <t>Private</t>
    </r>
  </si>
  <si>
    <r>
      <rPr>
        <b/>
        <sz val="16"/>
        <color theme="1"/>
        <rFont val="Aptos Narrow"/>
        <family val="2"/>
        <scheme val="minor"/>
      </rPr>
      <t>w</t>
    </r>
    <r>
      <rPr>
        <b/>
        <sz val="9"/>
        <color theme="1"/>
        <rFont val="Aptos Narrow"/>
        <family val="2"/>
        <scheme val="minor"/>
      </rPr>
      <t>S&amp;P500</t>
    </r>
  </si>
  <si>
    <r>
      <rPr>
        <b/>
        <sz val="16"/>
        <color theme="1"/>
        <rFont val="Aptos Narrow"/>
        <family val="2"/>
        <scheme val="minor"/>
      </rPr>
      <t>w</t>
    </r>
    <r>
      <rPr>
        <b/>
        <sz val="9"/>
        <color theme="1"/>
        <rFont val="Aptos Narrow"/>
        <family val="2"/>
        <scheme val="minor"/>
      </rPr>
      <t>Treasury</t>
    </r>
  </si>
  <si>
    <t>Alocação Ótima Familia em Crescimento (Coeficiente de Retorno 0.05)</t>
  </si>
  <si>
    <t>4. Modern Portfolio Theory – MPT e Cálculos</t>
  </si>
  <si>
    <t>Os pesos ótimos foram determinados com o Solver do Excel, minimizando a variância e impondo como restrição que o retorno esperado fosse superior ao retorno-alvo (inflação acumulada + 1%). Para investidores mais jovens, que toleram maior risco em busca de retorno, foi construída uma relação linear entre a carteira de mínima variância e o portfólio de retorno máximo (100% em ilíquidos).
Embora os dados históricos indiquem baixa volatilidade e alto retorno nos ativos ilíquidos, essa concentração seria inviável e arriscada no contexto do case, já que esses recursos permanecem travados por sete anos e os gastos devem ser cobertos pelos ativos líquidos. Assim, foram definidos limites de participação de ilíquidos conforme a idade, mantendo a progressão linear de maior exposição para perfis mais jovens, mas dentro de patamares realistas de liquidez e risco.</t>
  </si>
  <si>
    <t xml:space="preserve">3. Possíveis Portifólios entre as Classes </t>
  </si>
  <si>
    <t>Variáveis Utilizadas</t>
  </si>
  <si>
    <t>Valores por Fase da Vida (Obtidos na Primeira Parte)</t>
  </si>
  <si>
    <t>Limites Estabelecidos Empiricamente</t>
  </si>
  <si>
    <t>Resultados</t>
  </si>
  <si>
    <t>Custo Base RF</t>
  </si>
  <si>
    <t>Custo Base RV</t>
  </si>
  <si>
    <t>Total RF + RV Antes dos Gastos e Impostos</t>
  </si>
  <si>
    <t>Lucro Total Latente RV</t>
  </si>
  <si>
    <t>Lucro Total Latente RF</t>
  </si>
  <si>
    <t>Lucro Realizado RV</t>
  </si>
  <si>
    <t>Lucro Realizado RF</t>
  </si>
  <si>
    <t>% Prevista Rebalanceamento RV</t>
  </si>
  <si>
    <t>% Prevista Rebalanceamento RF</t>
  </si>
  <si>
    <t>Seleciona aqui a fase da vida</t>
  </si>
  <si>
    <t>Resultado Final</t>
  </si>
  <si>
    <t>Retorno Final</t>
  </si>
  <si>
    <t>Maior Drawdown</t>
  </si>
  <si>
    <t>Retorno Acumulado</t>
  </si>
  <si>
    <t>Drawdown</t>
  </si>
  <si>
    <t>Matriz de Correlação</t>
  </si>
  <si>
    <t>Private Equity</t>
  </si>
  <si>
    <t>Treasury Bond</t>
  </si>
  <si>
    <t>% Mínimo em Renda Variável:</t>
  </si>
  <si>
    <t>Alocação Ótima Jovem Profissional (Coeficiente de Retorno 0.4)</t>
  </si>
  <si>
    <t>Herança Target</t>
  </si>
  <si>
    <t>Herança</t>
  </si>
  <si>
    <t>Família em Crescimento</t>
  </si>
  <si>
    <t>Coluna1</t>
  </si>
  <si>
    <t xml:space="preserve">Retorno no Backtest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</si>
</sst>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_-&quot;R$&quot;\ * #,##0_-;\-&quot;R$&quot;\ * #,##0_-;_-&quot;R$&quot;\ * &quot;-&quot;??_-;_-@_-"/>
    <numFmt numFmtId="165" formatCode="0.0%"/>
    <numFmt numFmtId="166" formatCode="0.000%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EEEE58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8A8A8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898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6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0" xfId="0" applyNumberFormat="1"/>
    <xf numFmtId="44" fontId="0" fillId="0" borderId="0" xfId="1" applyFont="1"/>
    <xf numFmtId="44" fontId="0" fillId="0" borderId="0" xfId="0" applyNumberFormat="1"/>
    <xf numFmtId="0" fontId="0" fillId="0" borderId="0" xfId="0" applyAlignment="1">
      <alignment vertical="center" wrapText="1"/>
    </xf>
    <xf numFmtId="44" fontId="0" fillId="0" borderId="0" xfId="0" applyNumberFormat="1" applyAlignment="1">
      <alignment vertical="center" wrapText="1"/>
    </xf>
    <xf numFmtId="9" fontId="0" fillId="0" borderId="0" xfId="2" applyFont="1"/>
    <xf numFmtId="9" fontId="0" fillId="0" borderId="0" xfId="2" applyFont="1" applyAlignment="1">
      <alignment vertical="center" wrapText="1"/>
    </xf>
    <xf numFmtId="9" fontId="0" fillId="0" borderId="0" xfId="0" applyNumberFormat="1" applyAlignment="1">
      <alignment vertical="center" wrapText="1"/>
    </xf>
    <xf numFmtId="164" fontId="0" fillId="0" borderId="0" xfId="1" applyNumberFormat="1" applyFont="1" applyAlignment="1">
      <alignment horizontal="center" vertical="center"/>
    </xf>
    <xf numFmtId="10" fontId="0" fillId="0" borderId="0" xfId="2" applyNumberFormat="1" applyFont="1" applyAlignment="1">
      <alignment vertical="center" wrapText="1"/>
    </xf>
    <xf numFmtId="165" fontId="0" fillId="0" borderId="0" xfId="0" applyNumberFormat="1"/>
    <xf numFmtId="9" fontId="0" fillId="2" borderId="4" xfId="2" applyFont="1" applyFill="1" applyBorder="1" applyAlignment="1">
      <alignment horizontal="center"/>
    </xf>
    <xf numFmtId="9" fontId="0" fillId="2" borderId="0" xfId="2" applyFont="1" applyFill="1" applyBorder="1" applyAlignment="1">
      <alignment horizontal="center"/>
    </xf>
    <xf numFmtId="9" fontId="0" fillId="2" borderId="0" xfId="0" applyNumberFormat="1" applyFill="1" applyAlignment="1">
      <alignment horizontal="center"/>
    </xf>
    <xf numFmtId="165" fontId="0" fillId="2" borderId="5" xfId="0" applyNumberFormat="1" applyFill="1" applyBorder="1" applyAlignment="1">
      <alignment horizontal="center"/>
    </xf>
    <xf numFmtId="9" fontId="0" fillId="2" borderId="6" xfId="2" applyFont="1" applyFill="1" applyBorder="1" applyAlignment="1">
      <alignment horizontal="center"/>
    </xf>
    <xf numFmtId="9" fontId="0" fillId="2" borderId="7" xfId="2" applyFont="1" applyFill="1" applyBorder="1" applyAlignment="1">
      <alignment horizontal="center"/>
    </xf>
    <xf numFmtId="9" fontId="0" fillId="2" borderId="7" xfId="0" applyNumberForma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5" fillId="3" borderId="0" xfId="0" applyFont="1" applyFill="1" applyAlignment="1">
      <alignment horizontal="center" vertical="center"/>
    </xf>
    <xf numFmtId="0" fontId="9" fillId="3" borderId="1" xfId="0" applyFont="1" applyFill="1" applyBorder="1"/>
    <xf numFmtId="0" fontId="0" fillId="3" borderId="2" xfId="0" applyFill="1" applyBorder="1"/>
    <xf numFmtId="0" fontId="0" fillId="3" borderId="3" xfId="0" applyFill="1" applyBorder="1"/>
    <xf numFmtId="0" fontId="5" fillId="3" borderId="4" xfId="0" applyFont="1" applyFill="1" applyBorder="1" applyAlignment="1">
      <alignment horizontal="center" vertical="center"/>
    </xf>
    <xf numFmtId="9" fontId="0" fillId="3" borderId="4" xfId="0" applyNumberFormat="1" applyFill="1" applyBorder="1" applyAlignment="1">
      <alignment horizontal="center" vertical="center"/>
    </xf>
    <xf numFmtId="9" fontId="0" fillId="3" borderId="0" xfId="0" applyNumberFormat="1" applyFill="1" applyAlignment="1">
      <alignment horizontal="center" vertical="center"/>
    </xf>
    <xf numFmtId="10" fontId="0" fillId="3" borderId="0" xfId="2" applyNumberFormat="1" applyFont="1" applyFill="1" applyBorder="1" applyAlignment="1">
      <alignment horizontal="center" vertical="center"/>
    </xf>
    <xf numFmtId="10" fontId="0" fillId="3" borderId="5" xfId="2" applyNumberFormat="1" applyFont="1" applyFill="1" applyBorder="1" applyAlignment="1">
      <alignment horizontal="center"/>
    </xf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4" fillId="3" borderId="0" xfId="0" applyFont="1" applyFill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0" fillId="3" borderId="0" xfId="0" applyFill="1"/>
    <xf numFmtId="0" fontId="0" fillId="3" borderId="4" xfId="0" applyFill="1" applyBorder="1"/>
    <xf numFmtId="0" fontId="0" fillId="3" borderId="5" xfId="0" applyFill="1" applyBorder="1"/>
    <xf numFmtId="0" fontId="2" fillId="3" borderId="4" xfId="0" applyFont="1" applyFill="1" applyBorder="1"/>
    <xf numFmtId="165" fontId="0" fillId="2" borderId="8" xfId="0" applyNumberFormat="1" applyFill="1" applyBorder="1" applyAlignment="1">
      <alignment horizontal="center"/>
    </xf>
    <xf numFmtId="10" fontId="0" fillId="3" borderId="0" xfId="0" applyNumberFormat="1" applyFill="1"/>
    <xf numFmtId="0" fontId="5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10" fontId="0" fillId="4" borderId="0" xfId="2" applyNumberFormat="1" applyFont="1" applyFill="1" applyBorder="1" applyAlignment="1">
      <alignment horizontal="center" vertical="center"/>
    </xf>
    <xf numFmtId="10" fontId="0" fillId="4" borderId="5" xfId="2" applyNumberFormat="1" applyFont="1" applyFill="1" applyBorder="1" applyAlignment="1">
      <alignment horizontal="center"/>
    </xf>
    <xf numFmtId="0" fontId="0" fillId="4" borderId="4" xfId="0" applyFill="1" applyBorder="1"/>
    <xf numFmtId="0" fontId="0" fillId="4" borderId="5" xfId="0" applyFill="1" applyBorder="1"/>
    <xf numFmtId="0" fontId="2" fillId="4" borderId="4" xfId="0" applyFont="1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165" fontId="0" fillId="2" borderId="0" xfId="2" applyNumberFormat="1" applyFont="1" applyFill="1" applyBorder="1" applyAlignment="1">
      <alignment horizontal="center"/>
    </xf>
    <xf numFmtId="165" fontId="0" fillId="2" borderId="7" xfId="2" applyNumberFormat="1" applyFont="1" applyFill="1" applyBorder="1" applyAlignment="1">
      <alignment horizontal="center"/>
    </xf>
    <xf numFmtId="10" fontId="0" fillId="4" borderId="5" xfId="0" applyNumberFormat="1" applyFill="1" applyBorder="1" applyAlignment="1">
      <alignment horizontal="left"/>
    </xf>
    <xf numFmtId="0" fontId="5" fillId="5" borderId="4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10" fontId="0" fillId="5" borderId="0" xfId="2" applyNumberFormat="1" applyFont="1" applyFill="1" applyBorder="1" applyAlignment="1">
      <alignment horizontal="center" vertical="center"/>
    </xf>
    <xf numFmtId="10" fontId="0" fillId="5" borderId="5" xfId="2" applyNumberFormat="1" applyFont="1" applyFill="1" applyBorder="1" applyAlignment="1">
      <alignment horizontal="center"/>
    </xf>
    <xf numFmtId="0" fontId="0" fillId="5" borderId="5" xfId="0" applyFill="1" applyBorder="1"/>
    <xf numFmtId="0" fontId="2" fillId="5" borderId="4" xfId="0" applyFont="1" applyFill="1" applyBorder="1"/>
    <xf numFmtId="10" fontId="0" fillId="5" borderId="5" xfId="0" applyNumberFormat="1" applyFill="1" applyBorder="1" applyAlignment="1">
      <alignment horizontal="left"/>
    </xf>
    <xf numFmtId="0" fontId="0" fillId="5" borderId="6" xfId="0" applyFill="1" applyBorder="1"/>
    <xf numFmtId="0" fontId="0" fillId="5" borderId="7" xfId="0" applyFill="1" applyBorder="1"/>
    <xf numFmtId="0" fontId="0" fillId="5" borderId="8" xfId="0" applyFill="1" applyBorder="1"/>
    <xf numFmtId="0" fontId="2" fillId="3" borderId="0" xfId="0" applyFont="1" applyFill="1"/>
    <xf numFmtId="0" fontId="0" fillId="3" borderId="5" xfId="0" applyFill="1" applyBorder="1" applyAlignment="1">
      <alignment horizontal="left"/>
    </xf>
    <xf numFmtId="9" fontId="0" fillId="0" borderId="0" xfId="2" applyFont="1" applyAlignment="1">
      <alignment horizontal="center"/>
    </xf>
    <xf numFmtId="0" fontId="2" fillId="0" borderId="9" xfId="0" applyFont="1" applyBorder="1" applyAlignment="1">
      <alignment horizontal="center"/>
    </xf>
    <xf numFmtId="165" fontId="0" fillId="0" borderId="0" xfId="2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2" fillId="0" borderId="0" xfId="0" applyFont="1"/>
    <xf numFmtId="0" fontId="10" fillId="0" borderId="0" xfId="0" applyFont="1" applyAlignment="1">
      <alignment horizontal="center"/>
    </xf>
    <xf numFmtId="0" fontId="4" fillId="2" borderId="3" xfId="0" applyFont="1" applyFill="1" applyBorder="1" applyAlignment="1">
      <alignment horizontal="center" wrapText="1"/>
    </xf>
    <xf numFmtId="0" fontId="5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9" fontId="0" fillId="4" borderId="0" xfId="0" applyNumberFormat="1" applyFill="1" applyAlignment="1">
      <alignment horizontal="center" vertical="center"/>
    </xf>
    <xf numFmtId="0" fontId="0" fillId="4" borderId="0" xfId="0" applyFill="1"/>
    <xf numFmtId="9" fontId="0" fillId="4" borderId="0" xfId="0" applyNumberFormat="1" applyFill="1" applyAlignment="1">
      <alignment horizontal="left"/>
    </xf>
    <xf numFmtId="0" fontId="2" fillId="4" borderId="0" xfId="0" applyFont="1" applyFill="1"/>
    <xf numFmtId="0" fontId="0" fillId="4" borderId="0" xfId="0" applyFill="1" applyAlignment="1">
      <alignment horizontal="left"/>
    </xf>
    <xf numFmtId="166" fontId="0" fillId="4" borderId="0" xfId="0" applyNumberFormat="1" applyFill="1" applyAlignment="1">
      <alignment horizontal="left"/>
    </xf>
    <xf numFmtId="0" fontId="2" fillId="4" borderId="6" xfId="0" applyFont="1" applyFill="1" applyBorder="1"/>
    <xf numFmtId="166" fontId="0" fillId="4" borderId="7" xfId="0" applyNumberFormat="1" applyFill="1" applyBorder="1" applyAlignment="1">
      <alignment horizontal="left"/>
    </xf>
    <xf numFmtId="0" fontId="5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9" fontId="0" fillId="5" borderId="0" xfId="0" applyNumberFormat="1" applyFill="1" applyAlignment="1">
      <alignment horizontal="center" vertical="center"/>
    </xf>
    <xf numFmtId="0" fontId="0" fillId="5" borderId="0" xfId="0" applyFill="1"/>
    <xf numFmtId="9" fontId="0" fillId="5" borderId="0" xfId="0" applyNumberFormat="1" applyFill="1" applyAlignment="1">
      <alignment horizontal="left"/>
    </xf>
    <xf numFmtId="0" fontId="2" fillId="5" borderId="0" xfId="0" applyFont="1" applyFill="1"/>
    <xf numFmtId="0" fontId="0" fillId="5" borderId="0" xfId="0" applyFill="1" applyAlignment="1">
      <alignment horizontal="left"/>
    </xf>
    <xf numFmtId="166" fontId="0" fillId="5" borderId="0" xfId="0" applyNumberFormat="1" applyFill="1" applyAlignment="1">
      <alignment horizontal="left"/>
    </xf>
    <xf numFmtId="10" fontId="1" fillId="5" borderId="0" xfId="2" applyNumberFormat="1" applyFont="1" applyFill="1" applyBorder="1" applyAlignment="1">
      <alignment horizontal="center" vertical="center"/>
    </xf>
    <xf numFmtId="10" fontId="1" fillId="5" borderId="5" xfId="2" applyNumberFormat="1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 vertical="center"/>
    </xf>
    <xf numFmtId="0" fontId="2" fillId="5" borderId="5" xfId="0" applyFont="1" applyFill="1" applyBorder="1"/>
    <xf numFmtId="10" fontId="2" fillId="5" borderId="5" xfId="0" applyNumberFormat="1" applyFont="1" applyFill="1" applyBorder="1" applyAlignment="1">
      <alignment horizontal="left"/>
    </xf>
    <xf numFmtId="0" fontId="2" fillId="5" borderId="6" xfId="0" applyFont="1" applyFill="1" applyBorder="1"/>
    <xf numFmtId="0" fontId="2" fillId="5" borderId="7" xfId="0" applyFont="1" applyFill="1" applyBorder="1"/>
    <xf numFmtId="0" fontId="2" fillId="5" borderId="8" xfId="0" applyFont="1" applyFill="1" applyBorder="1"/>
    <xf numFmtId="9" fontId="2" fillId="5" borderId="0" xfId="0" applyNumberFormat="1" applyFont="1" applyFill="1" applyAlignment="1">
      <alignment horizontal="left"/>
    </xf>
    <xf numFmtId="0" fontId="2" fillId="5" borderId="0" xfId="0" applyFont="1" applyFill="1" applyAlignment="1">
      <alignment horizontal="left"/>
    </xf>
    <xf numFmtId="166" fontId="2" fillId="5" borderId="0" xfId="0" applyNumberFormat="1" applyFont="1" applyFill="1" applyAlignment="1">
      <alignment horizontal="left"/>
    </xf>
    <xf numFmtId="0" fontId="5" fillId="6" borderId="4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10" fontId="0" fillId="6" borderId="0" xfId="2" applyNumberFormat="1" applyFont="1" applyFill="1" applyBorder="1" applyAlignment="1">
      <alignment horizontal="center" vertical="center"/>
    </xf>
    <xf numFmtId="10" fontId="0" fillId="6" borderId="5" xfId="2" applyNumberFormat="1" applyFont="1" applyFill="1" applyBorder="1" applyAlignment="1">
      <alignment horizontal="center"/>
    </xf>
    <xf numFmtId="0" fontId="0" fillId="6" borderId="4" xfId="0" applyFill="1" applyBorder="1"/>
    <xf numFmtId="0" fontId="0" fillId="6" borderId="5" xfId="0" applyFill="1" applyBorder="1"/>
    <xf numFmtId="0" fontId="2" fillId="6" borderId="4" xfId="0" applyFont="1" applyFill="1" applyBorder="1"/>
    <xf numFmtId="10" fontId="0" fillId="6" borderId="5" xfId="0" applyNumberFormat="1" applyFill="1" applyBorder="1" applyAlignment="1">
      <alignment horizontal="left"/>
    </xf>
    <xf numFmtId="0" fontId="0" fillId="6" borderId="6" xfId="0" applyFill="1" applyBorder="1"/>
    <xf numFmtId="0" fontId="0" fillId="6" borderId="7" xfId="0" applyFill="1" applyBorder="1"/>
    <xf numFmtId="0" fontId="0" fillId="6" borderId="8" xfId="0" applyFill="1" applyBorder="1"/>
    <xf numFmtId="165" fontId="0" fillId="0" borderId="0" xfId="0" applyNumberFormat="1" applyAlignment="1">
      <alignment horizontal="right"/>
    </xf>
    <xf numFmtId="165" fontId="0" fillId="4" borderId="4" xfId="2" applyNumberFormat="1" applyFont="1" applyFill="1" applyBorder="1" applyAlignment="1">
      <alignment horizontal="center" vertical="center"/>
    </xf>
    <xf numFmtId="165" fontId="0" fillId="4" borderId="0" xfId="2" applyNumberFormat="1" applyFont="1" applyFill="1" applyBorder="1" applyAlignment="1">
      <alignment horizontal="center" vertical="center"/>
    </xf>
    <xf numFmtId="165" fontId="1" fillId="5" borderId="4" xfId="2" applyNumberFormat="1" applyFont="1" applyFill="1" applyBorder="1" applyAlignment="1">
      <alignment horizontal="center" vertical="center"/>
    </xf>
    <xf numFmtId="165" fontId="1" fillId="5" borderId="0" xfId="2" applyNumberFormat="1" applyFont="1" applyFill="1" applyBorder="1" applyAlignment="1">
      <alignment horizontal="center" vertical="center"/>
    </xf>
    <xf numFmtId="165" fontId="0" fillId="5" borderId="4" xfId="0" applyNumberFormat="1" applyFill="1" applyBorder="1" applyAlignment="1">
      <alignment horizontal="center" vertical="center"/>
    </xf>
    <xf numFmtId="165" fontId="0" fillId="5" borderId="0" xfId="0" applyNumberFormat="1" applyFill="1" applyAlignment="1">
      <alignment horizontal="center" vertical="center"/>
    </xf>
    <xf numFmtId="165" fontId="0" fillId="4" borderId="4" xfId="0" applyNumberFormat="1" applyFill="1" applyBorder="1" applyAlignment="1">
      <alignment horizontal="center" vertical="center"/>
    </xf>
    <xf numFmtId="165" fontId="0" fillId="4" borderId="0" xfId="0" applyNumberFormat="1" applyFill="1" applyAlignment="1">
      <alignment horizontal="center" vertical="center"/>
    </xf>
    <xf numFmtId="165" fontId="0" fillId="3" borderId="4" xfId="0" applyNumberFormat="1" applyFill="1" applyBorder="1" applyAlignment="1">
      <alignment horizontal="center" vertical="center"/>
    </xf>
    <xf numFmtId="165" fontId="0" fillId="3" borderId="0" xfId="0" applyNumberFormat="1" applyFill="1" applyAlignment="1">
      <alignment horizontal="center" vertical="center"/>
    </xf>
    <xf numFmtId="165" fontId="0" fillId="6" borderId="4" xfId="0" applyNumberFormat="1" applyFill="1" applyBorder="1" applyAlignment="1">
      <alignment horizontal="center" vertical="center"/>
    </xf>
    <xf numFmtId="9" fontId="0" fillId="5" borderId="0" xfId="2" applyFont="1" applyFill="1" applyBorder="1" applyAlignment="1">
      <alignment horizontal="left"/>
    </xf>
    <xf numFmtId="9" fontId="0" fillId="6" borderId="0" xfId="2" applyFont="1" applyFill="1" applyBorder="1" applyAlignment="1">
      <alignment horizontal="left"/>
    </xf>
    <xf numFmtId="0" fontId="15" fillId="0" borderId="0" xfId="0" applyFont="1"/>
    <xf numFmtId="44" fontId="0" fillId="7" borderId="0" xfId="1" applyFont="1" applyFill="1"/>
    <xf numFmtId="44" fontId="0" fillId="8" borderId="0" xfId="1" applyFont="1" applyFill="1"/>
    <xf numFmtId="0" fontId="0" fillId="9" borderId="0" xfId="0" applyFill="1"/>
    <xf numFmtId="44" fontId="0" fillId="9" borderId="0" xfId="0" applyNumberFormat="1" applyFill="1"/>
    <xf numFmtId="0" fontId="0" fillId="10" borderId="0" xfId="0" applyFill="1"/>
    <xf numFmtId="44" fontId="0" fillId="10" borderId="0" xfId="1" applyFont="1" applyFill="1"/>
    <xf numFmtId="0" fontId="2" fillId="7" borderId="13" xfId="0" applyFont="1" applyFill="1" applyBorder="1" applyAlignment="1">
      <alignment horizontal="center" vertical="center"/>
    </xf>
    <xf numFmtId="44" fontId="2" fillId="7" borderId="13" xfId="1" applyFont="1" applyFill="1" applyBorder="1" applyAlignment="1">
      <alignment horizontal="center" vertical="center"/>
    </xf>
    <xf numFmtId="0" fontId="2" fillId="7" borderId="13" xfId="0" applyFont="1" applyFill="1" applyBorder="1" applyAlignment="1">
      <alignment horizontal="center" vertical="center" wrapText="1"/>
    </xf>
    <xf numFmtId="44" fontId="0" fillId="11" borderId="0" xfId="0" applyNumberFormat="1" applyFill="1"/>
    <xf numFmtId="44" fontId="0" fillId="6" borderId="0" xfId="0" applyNumberFormat="1" applyFill="1"/>
    <xf numFmtId="44" fontId="0" fillId="3" borderId="0" xfId="1" applyFont="1" applyFill="1"/>
    <xf numFmtId="9" fontId="0" fillId="3" borderId="0" xfId="2" applyFont="1" applyFill="1"/>
    <xf numFmtId="9" fontId="0" fillId="3" borderId="0" xfId="2" applyFont="1" applyFill="1" applyAlignment="1">
      <alignment vertical="center" wrapText="1"/>
    </xf>
    <xf numFmtId="9" fontId="0" fillId="3" borderId="0" xfId="0" applyNumberFormat="1" applyFill="1" applyAlignment="1">
      <alignment vertical="center" wrapText="1"/>
    </xf>
    <xf numFmtId="44" fontId="0" fillId="3" borderId="0" xfId="0" applyNumberFormat="1" applyFill="1" applyAlignment="1">
      <alignment vertical="center" wrapText="1"/>
    </xf>
    <xf numFmtId="44" fontId="0" fillId="3" borderId="0" xfId="0" applyNumberFormat="1" applyFill="1"/>
    <xf numFmtId="0" fontId="2" fillId="7" borderId="0" xfId="0" applyFont="1" applyFill="1"/>
    <xf numFmtId="44" fontId="0" fillId="0" borderId="0" xfId="2" applyNumberFormat="1" applyFont="1"/>
    <xf numFmtId="165" fontId="0" fillId="0" borderId="0" xfId="2" applyNumberFormat="1" applyFont="1"/>
    <xf numFmtId="44" fontId="0" fillId="3" borderId="0" xfId="2" applyNumberFormat="1" applyFont="1" applyFill="1"/>
    <xf numFmtId="44" fontId="0" fillId="5" borderId="0" xfId="0" applyNumberFormat="1" applyFill="1"/>
    <xf numFmtId="44" fontId="0" fillId="8" borderId="0" xfId="0" applyNumberFormat="1" applyFill="1"/>
    <xf numFmtId="10" fontId="0" fillId="8" borderId="0" xfId="2" applyNumberFormat="1" applyFont="1" applyFill="1" applyAlignment="1">
      <alignment vertical="center" wrapText="1"/>
    </xf>
    <xf numFmtId="44" fontId="0" fillId="8" borderId="0" xfId="2" applyNumberFormat="1" applyFont="1" applyFill="1"/>
    <xf numFmtId="0" fontId="2" fillId="7" borderId="14" xfId="0" applyFont="1" applyFill="1" applyBorder="1" applyAlignment="1">
      <alignment horizontal="center" vertical="center" wrapText="1"/>
    </xf>
    <xf numFmtId="0" fontId="0" fillId="12" borderId="0" xfId="0" applyFill="1"/>
    <xf numFmtId="9" fontId="0" fillId="10" borderId="0" xfId="2" applyFont="1" applyFill="1"/>
    <xf numFmtId="9" fontId="0" fillId="8" borderId="0" xfId="1" applyNumberFormat="1" applyFont="1" applyFill="1"/>
    <xf numFmtId="0" fontId="9" fillId="6" borderId="1" xfId="0" applyFont="1" applyFill="1" applyBorder="1" applyAlignment="1">
      <alignment horizontal="left" vertical="center"/>
    </xf>
    <xf numFmtId="0" fontId="9" fillId="6" borderId="2" xfId="0" applyFont="1" applyFill="1" applyBorder="1" applyAlignment="1">
      <alignment horizontal="left" vertical="center"/>
    </xf>
    <xf numFmtId="0" fontId="9" fillId="6" borderId="3" xfId="0" applyFont="1" applyFill="1" applyBorder="1" applyAlignment="1">
      <alignment horizontal="left" vertical="center"/>
    </xf>
    <xf numFmtId="0" fontId="9" fillId="6" borderId="4" xfId="0" applyFont="1" applyFill="1" applyBorder="1" applyAlignment="1">
      <alignment horizontal="left" vertical="center"/>
    </xf>
    <xf numFmtId="0" fontId="9" fillId="6" borderId="5" xfId="0" applyFont="1" applyFill="1" applyBorder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9" fontId="7" fillId="0" borderId="10" xfId="2" applyFont="1" applyBorder="1" applyAlignment="1">
      <alignment horizontal="center" vertical="center"/>
    </xf>
    <xf numFmtId="9" fontId="7" fillId="0" borderId="11" xfId="2" applyFont="1" applyBorder="1" applyAlignment="1">
      <alignment horizontal="center" vertical="center"/>
    </xf>
    <xf numFmtId="9" fontId="7" fillId="0" borderId="12" xfId="2" applyFont="1" applyBorder="1" applyAlignment="1">
      <alignment horizontal="center" vertical="center"/>
    </xf>
    <xf numFmtId="9" fontId="0" fillId="0" borderId="4" xfId="2" applyFont="1" applyBorder="1" applyAlignment="1">
      <alignment horizontal="center"/>
    </xf>
    <xf numFmtId="9" fontId="0" fillId="0" borderId="0" xfId="2" applyFont="1" applyBorder="1" applyAlignment="1">
      <alignment horizontal="center"/>
    </xf>
    <xf numFmtId="9" fontId="0" fillId="0" borderId="5" xfId="2" applyFont="1" applyBorder="1" applyAlignment="1">
      <alignment horizontal="center"/>
    </xf>
    <xf numFmtId="9" fontId="0" fillId="0" borderId="6" xfId="2" applyFont="1" applyBorder="1" applyAlignment="1">
      <alignment horizontal="center"/>
    </xf>
    <xf numFmtId="9" fontId="0" fillId="0" borderId="7" xfId="2" applyFont="1" applyBorder="1" applyAlignment="1">
      <alignment horizontal="center"/>
    </xf>
    <xf numFmtId="9" fontId="0" fillId="0" borderId="8" xfId="2" applyFont="1" applyBorder="1" applyAlignment="1">
      <alignment horizontal="center"/>
    </xf>
    <xf numFmtId="9" fontId="5" fillId="0" borderId="1" xfId="2" applyFont="1" applyBorder="1" applyAlignment="1">
      <alignment horizontal="center" vertical="center"/>
    </xf>
    <xf numFmtId="9" fontId="5" fillId="0" borderId="2" xfId="2" applyFont="1" applyBorder="1" applyAlignment="1">
      <alignment horizontal="center" vertical="center"/>
    </xf>
    <xf numFmtId="9" fontId="5" fillId="0" borderId="3" xfId="2" applyFont="1" applyBorder="1" applyAlignment="1">
      <alignment horizontal="center" vertical="center"/>
    </xf>
    <xf numFmtId="9" fontId="5" fillId="0" borderId="4" xfId="2" applyFont="1" applyBorder="1" applyAlignment="1">
      <alignment horizontal="center" vertical="center"/>
    </xf>
    <xf numFmtId="9" fontId="5" fillId="0" borderId="0" xfId="2" applyFont="1" applyBorder="1" applyAlignment="1">
      <alignment horizontal="center" vertical="center"/>
    </xf>
    <xf numFmtId="9" fontId="5" fillId="0" borderId="5" xfId="2" applyFont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/>
    </xf>
    <xf numFmtId="0" fontId="9" fillId="4" borderId="2" xfId="0" applyFont="1" applyFill="1" applyBorder="1" applyAlignment="1">
      <alignment horizontal="left" vertical="center"/>
    </xf>
    <xf numFmtId="0" fontId="9" fillId="4" borderId="3" xfId="0" applyFont="1" applyFill="1" applyBorder="1" applyAlignment="1">
      <alignment horizontal="left" vertical="center"/>
    </xf>
    <xf numFmtId="0" fontId="9" fillId="4" borderId="4" xfId="0" applyFont="1" applyFill="1" applyBorder="1" applyAlignment="1">
      <alignment horizontal="left" vertical="center"/>
    </xf>
    <xf numFmtId="0" fontId="9" fillId="4" borderId="0" xfId="0" applyFont="1" applyFill="1" applyAlignment="1">
      <alignment horizontal="left" vertical="center"/>
    </xf>
    <xf numFmtId="0" fontId="9" fillId="4" borderId="5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/>
    </xf>
    <xf numFmtId="0" fontId="9" fillId="5" borderId="2" xfId="0" applyFont="1" applyFill="1" applyBorder="1" applyAlignment="1">
      <alignment horizontal="left" vertical="center"/>
    </xf>
    <xf numFmtId="0" fontId="9" fillId="5" borderId="3" xfId="0" applyFont="1" applyFill="1" applyBorder="1" applyAlignment="1">
      <alignment horizontal="left" vertical="center"/>
    </xf>
    <xf numFmtId="0" fontId="9" fillId="5" borderId="4" xfId="0" applyFont="1" applyFill="1" applyBorder="1" applyAlignment="1">
      <alignment horizontal="left" vertical="center"/>
    </xf>
    <xf numFmtId="0" fontId="9" fillId="5" borderId="0" xfId="0" applyFont="1" applyFill="1" applyAlignment="1">
      <alignment horizontal="left" vertical="center"/>
    </xf>
    <xf numFmtId="0" fontId="9" fillId="5" borderId="5" xfId="0" applyFont="1" applyFill="1" applyBorder="1" applyAlignment="1">
      <alignment horizontal="left" vertical="center"/>
    </xf>
    <xf numFmtId="44" fontId="7" fillId="0" borderId="10" xfId="1" applyFont="1" applyBorder="1" applyAlignment="1">
      <alignment horizontal="center" vertical="center"/>
    </xf>
    <xf numFmtId="44" fontId="7" fillId="0" borderId="11" xfId="1" applyFont="1" applyBorder="1" applyAlignment="1">
      <alignment horizontal="center" vertical="center"/>
    </xf>
    <xf numFmtId="44" fontId="7" fillId="0" borderId="12" xfId="1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2" applyNumberFormat="1" applyFont="1" applyAlignment="1">
      <alignment horizontal="center"/>
    </xf>
    <xf numFmtId="0" fontId="0" fillId="0" borderId="13" xfId="2" applyNumberFormat="1" applyFont="1" applyBorder="1" applyAlignment="1">
      <alignment horizontal="center" vertical="center"/>
    </xf>
    <xf numFmtId="0" fontId="0" fillId="0" borderId="13" xfId="0" applyNumberFormat="1" applyBorder="1" applyAlignment="1">
      <alignment horizontal="center" vertical="center"/>
    </xf>
    <xf numFmtId="9" fontId="0" fillId="13" borderId="13" xfId="2" applyFont="1" applyFill="1" applyBorder="1" applyAlignment="1">
      <alignment horizontal="center" vertical="center"/>
    </xf>
    <xf numFmtId="9" fontId="0" fillId="14" borderId="13" xfId="2" applyFont="1" applyFill="1" applyBorder="1" applyAlignment="1">
      <alignment horizontal="center" vertical="center"/>
    </xf>
    <xf numFmtId="0" fontId="9" fillId="6" borderId="0" xfId="0" applyFont="1" applyFill="1" applyBorder="1" applyAlignment="1">
      <alignment horizontal="left" vertical="center"/>
    </xf>
    <xf numFmtId="0" fontId="5" fillId="6" borderId="0" xfId="0" applyFont="1" applyFill="1" applyBorder="1" applyAlignment="1">
      <alignment horizontal="center" vertical="center"/>
    </xf>
    <xf numFmtId="0" fontId="4" fillId="6" borderId="0" xfId="0" applyFont="1" applyFill="1" applyBorder="1" applyAlignment="1">
      <alignment horizontal="center" vertical="center"/>
    </xf>
    <xf numFmtId="165" fontId="0" fillId="6" borderId="0" xfId="0" applyNumberFormat="1" applyFill="1" applyBorder="1" applyAlignment="1">
      <alignment horizontal="center" vertical="center"/>
    </xf>
    <xf numFmtId="9" fontId="0" fillId="6" borderId="0" xfId="0" applyNumberFormat="1" applyFill="1" applyBorder="1" applyAlignment="1">
      <alignment horizontal="center" vertical="center"/>
    </xf>
    <xf numFmtId="0" fontId="0" fillId="6" borderId="0" xfId="0" applyFill="1" applyBorder="1"/>
    <xf numFmtId="9" fontId="0" fillId="6" borderId="0" xfId="0" applyNumberFormat="1" applyFill="1" applyBorder="1" applyAlignment="1">
      <alignment horizontal="left"/>
    </xf>
    <xf numFmtId="0" fontId="2" fillId="6" borderId="0" xfId="0" applyFont="1" applyFill="1" applyBorder="1"/>
    <xf numFmtId="0" fontId="0" fillId="6" borderId="0" xfId="0" applyFill="1" applyBorder="1" applyAlignment="1">
      <alignment horizontal="left"/>
    </xf>
    <xf numFmtId="166" fontId="0" fillId="6" borderId="0" xfId="0" applyNumberFormat="1" applyFill="1" applyBorder="1" applyAlignment="1">
      <alignment horizontal="left"/>
    </xf>
    <xf numFmtId="0" fontId="0" fillId="0" borderId="0" xfId="0" applyAlignment="1">
      <alignment horizontal="left"/>
    </xf>
    <xf numFmtId="44" fontId="0" fillId="0" borderId="0" xfId="1" applyFont="1" applyAlignment="1">
      <alignment horizontal="left"/>
    </xf>
    <xf numFmtId="0" fontId="0" fillId="11" borderId="0" xfId="0" applyFill="1" applyAlignment="1">
      <alignment horizontal="left"/>
    </xf>
    <xf numFmtId="9" fontId="0" fillId="11" borderId="0" xfId="0" applyNumberFormat="1" applyFill="1" applyAlignment="1">
      <alignment horizontal="right"/>
    </xf>
    <xf numFmtId="0" fontId="0" fillId="9" borderId="0" xfId="0" applyFill="1" applyAlignment="1">
      <alignment horizontal="left"/>
    </xf>
    <xf numFmtId="44" fontId="0" fillId="9" borderId="0" xfId="1" applyFont="1" applyFill="1" applyAlignment="1">
      <alignment horizontal="left"/>
    </xf>
    <xf numFmtId="0" fontId="0" fillId="15" borderId="0" xfId="0" applyFill="1" applyAlignment="1">
      <alignment horizontal="left"/>
    </xf>
    <xf numFmtId="0" fontId="0" fillId="2" borderId="0" xfId="0" applyFill="1" applyAlignment="1">
      <alignment horizontal="left"/>
    </xf>
    <xf numFmtId="9" fontId="0" fillId="2" borderId="0" xfId="2" applyFont="1" applyFill="1" applyAlignment="1">
      <alignment horizontal="right"/>
    </xf>
  </cellXfs>
  <cellStyles count="3">
    <cellStyle name="Moeda" xfId="1" builtinId="4"/>
    <cellStyle name="Normal" xfId="0" builtinId="0"/>
    <cellStyle name="Porcentagem" xfId="2" builtinId="5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5" formatCode="0.0%"/>
      <alignment horizontal="right" vertical="bottom" textRotation="0" wrapText="0" indent="0" justifyLastLine="0" shrinkToFit="0" readingOrder="0"/>
    </dxf>
    <dxf>
      <numFmt numFmtId="165" formatCode="0.0%"/>
      <alignment horizontal="right" vertical="bottom" textRotation="0" wrapText="0" indent="0" justifyLastLine="0" shrinkToFit="0" readingOrder="0"/>
    </dxf>
    <dxf>
      <numFmt numFmtId="165" formatCode="0.0%"/>
    </dxf>
    <dxf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3" formatCode="0%"/>
    </dxf>
    <dxf>
      <numFmt numFmtId="13" formatCode="0%"/>
    </dxf>
    <dxf>
      <numFmt numFmtId="13" formatCode="0%"/>
    </dxf>
    <dxf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%"/>
      <alignment horizontal="center" vertical="bottom" textRotation="0" wrapText="0" indent="0" justifyLastLine="0" shrinkToFit="0" readingOrder="0"/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8989"/>
      <color rgb="FFEEEE58"/>
      <color rgb="FFF8A8A8"/>
      <color rgb="FFFF5050"/>
      <color rgb="FF45C1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Portifólios</a:t>
            </a:r>
            <a:r>
              <a:rPr lang="en-US" baseline="0">
                <a:solidFill>
                  <a:schemeClr val="bg1"/>
                </a:solidFill>
              </a:rPr>
              <a:t> Criados e Fronteira Eficiente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6.4085590515014362E-2"/>
          <c:y val="8.0968738024914361E-2"/>
          <c:w val="0.91282934919238834"/>
          <c:h val="0.81534127852348348"/>
        </c:manualLayout>
      </c:layout>
      <c:scatterChart>
        <c:scatterStyle val="lineMarker"/>
        <c:varyColors val="0"/>
        <c:ser>
          <c:idx val="0"/>
          <c:order val="0"/>
          <c:tx>
            <c:v>Permutações Base do Portifólio</c:v>
          </c:tx>
          <c:spPr>
            <a:ln w="38100" cap="rnd">
              <a:noFill/>
              <a:round/>
            </a:ln>
            <a:effectLst>
              <a:glow rad="50800">
                <a:schemeClr val="tx2">
                  <a:lumMod val="75000"/>
                  <a:lumOff val="25000"/>
                  <a:alpha val="70000"/>
                </a:schemeClr>
              </a:glow>
            </a:effectLst>
          </c:spPr>
          <c:marker>
            <c:symbol val="circle"/>
            <c:size val="5"/>
            <c:spPr>
              <a:solidFill>
                <a:srgbClr val="45C1E3"/>
              </a:solidFill>
              <a:ln w="6350">
                <a:solidFill>
                  <a:schemeClr val="accent1"/>
                </a:solidFill>
              </a:ln>
              <a:effectLst>
                <a:glow rad="50800">
                  <a:schemeClr val="tx2">
                    <a:lumMod val="75000"/>
                    <a:lumOff val="25000"/>
                    <a:alpha val="70000"/>
                  </a:schemeClr>
                </a:glow>
              </a:effectLst>
            </c:spPr>
          </c:marker>
          <c:xVal>
            <c:numRef>
              <c:f>'1. Dados Históricos'!$O$3:$O$233</c:f>
              <c:numCache>
                <c:formatCode>0.0%</c:formatCode>
                <c:ptCount val="231"/>
                <c:pt idx="0">
                  <c:v>9.4481261509275508E-2</c:v>
                </c:pt>
                <c:pt idx="1">
                  <c:v>8.8730950572456432E-2</c:v>
                </c:pt>
                <c:pt idx="2">
                  <c:v>8.4007091341015097E-2</c:v>
                </c:pt>
                <c:pt idx="3">
                  <c:v>8.0490609356880558E-2</c:v>
                </c:pt>
                <c:pt idx="4">
                  <c:v>7.8344253054608862E-2</c:v>
                </c:pt>
                <c:pt idx="5">
                  <c:v>7.7681675906905959E-2</c:v>
                </c:pt>
                <c:pt idx="6">
                  <c:v>7.854043894520138E-2</c:v>
                </c:pt>
                <c:pt idx="7">
                  <c:v>8.0872092347623742E-2</c:v>
                </c:pt>
                <c:pt idx="8">
                  <c:v>8.4554876173042831E-2</c:v>
                </c:pt>
                <c:pt idx="9">
                  <c:v>8.942200982740757E-2</c:v>
                </c:pt>
                <c:pt idx="10">
                  <c:v>9.5292190611223168E-2</c:v>
                </c:pt>
                <c:pt idx="11">
                  <c:v>0.10199237390303627</c:v>
                </c:pt>
                <c:pt idx="12">
                  <c:v>0.10937012421244735</c:v>
                </c:pt>
                <c:pt idx="13">
                  <c:v>0.11729765896680937</c:v>
                </c:pt>
                <c:pt idx="14">
                  <c:v>0.12567097724184378</c:v>
                </c:pt>
                <c:pt idx="15">
                  <c:v>0.13440679013994963</c:v>
                </c:pt>
                <c:pt idx="16">
                  <c:v>0.14343888225828888</c:v>
                </c:pt>
                <c:pt idx="17">
                  <c:v>0.15271469360958165</c:v>
                </c:pt>
                <c:pt idx="18">
                  <c:v>0.16219241455138364</c:v>
                </c:pt>
                <c:pt idx="19">
                  <c:v>0.17183863949858807</c:v>
                </c:pt>
                <c:pt idx="20">
                  <c:v>0.18162652257977602</c:v>
                </c:pt>
                <c:pt idx="21">
                  <c:v>8.9075129590701158E-2</c:v>
                </c:pt>
                <c:pt idx="22">
                  <c:v>8.3999844219983813E-2</c:v>
                </c:pt>
                <c:pt idx="23">
                  <c:v>8.0094356476228937E-2</c:v>
                </c:pt>
                <c:pt idx="24">
                  <c:v>7.7535637243007632E-2</c:v>
                </c:pt>
                <c:pt idx="25">
                  <c:v>7.6459016073944175E-2</c:v>
                </c:pt>
                <c:pt idx="26">
                  <c:v>7.6926745857928885E-2</c:v>
                </c:pt>
                <c:pt idx="27">
                  <c:v>7.8911369970134551E-2</c:v>
                </c:pt>
                <c:pt idx="28">
                  <c:v>8.2303228283068408E-2</c:v>
                </c:pt>
                <c:pt idx="29">
                  <c:v>8.6937767707968197E-2</c:v>
                </c:pt>
                <c:pt idx="30">
                  <c:v>9.2628648458523602E-2</c:v>
                </c:pt>
                <c:pt idx="31">
                  <c:v>9.919422649246884E-2</c:v>
                </c:pt>
                <c:pt idx="32">
                  <c:v>0.10647281163096994</c:v>
                </c:pt>
                <c:pt idx="33">
                  <c:v>0.11432830645446977</c:v>
                </c:pt>
                <c:pt idx="34">
                  <c:v>0.12264991108789544</c:v>
                </c:pt>
                <c:pt idx="35">
                  <c:v>0.13134906438939142</c:v>
                </c:pt>
                <c:pt idx="36">
                  <c:v>0.1403555831986982</c:v>
                </c:pt>
                <c:pt idx="37">
                  <c:v>0.14961396909080121</c:v>
                </c:pt>
                <c:pt idx="38">
                  <c:v>0.1590802525524086</c:v>
                </c:pt>
                <c:pt idx="39">
                  <c:v>0.16871944390066998</c:v>
                </c:pt>
                <c:pt idx="40">
                  <c:v>0.17850353425392704</c:v>
                </c:pt>
                <c:pt idx="41">
                  <c:v>8.4395728188411637E-2</c:v>
                </c:pt>
                <c:pt idx="42">
                  <c:v>8.0120885904409106E-2</c:v>
                </c:pt>
                <c:pt idx="43">
                  <c:v>7.7159644716268461E-2</c:v>
                </c:pt>
                <c:pt idx="44">
                  <c:v>7.5666387388010986E-2</c:v>
                </c:pt>
                <c:pt idx="45">
                  <c:v>7.5728003941360242E-2</c:v>
                </c:pt>
                <c:pt idx="46">
                  <c:v>7.7340778212474301E-2</c:v>
                </c:pt>
                <c:pt idx="47">
                  <c:v>8.0411431780922513E-2</c:v>
                </c:pt>
                <c:pt idx="48">
                  <c:v>8.4781706402873927E-2</c:v>
                </c:pt>
                <c:pt idx="49">
                  <c:v>9.0263027387112491E-2</c:v>
                </c:pt>
                <c:pt idx="50">
                  <c:v>9.6666578912095943E-2</c:v>
                </c:pt>
                <c:pt idx="51">
                  <c:v>0.10382185625882764</c:v>
                </c:pt>
                <c:pt idx="52">
                  <c:v>0.1115843411436713</c:v>
                </c:pt>
                <c:pt idx="53">
                  <c:v>0.11983609444939411</c:v>
                </c:pt>
                <c:pt idx="54">
                  <c:v>0.12848288162350399</c:v>
                </c:pt>
                <c:pt idx="55">
                  <c:v>0.13745016988222652</c:v>
                </c:pt>
                <c:pt idx="56">
                  <c:v>0.14667918913058137</c:v>
                </c:pt>
                <c:pt idx="57">
                  <c:v>0.1561235307067296</c:v>
                </c:pt>
                <c:pt idx="58">
                  <c:v>0.16574639106069175</c:v>
                </c:pt>
                <c:pt idx="59">
                  <c:v>0.17551841057829437</c:v>
                </c:pt>
                <c:pt idx="60">
                  <c:v>8.0569780010499359E-2</c:v>
                </c:pt>
                <c:pt idx="61">
                  <c:v>7.7222594989219892E-2</c:v>
                </c:pt>
                <c:pt idx="62">
                  <c:v>7.5317367822941475E-2</c:v>
                </c:pt>
                <c:pt idx="63">
                  <c:v>7.4964122136271155E-2</c:v>
                </c:pt>
                <c:pt idx="64">
                  <c:v>7.6184449282813899E-2</c:v>
                </c:pt>
                <c:pt idx="65">
                  <c:v>7.8905373773703477E-2</c:v>
                </c:pt>
                <c:pt idx="66">
                  <c:v>8.2979411309001272E-2</c:v>
                </c:pt>
                <c:pt idx="67">
                  <c:v>8.8219297123629983E-2</c:v>
                </c:pt>
                <c:pt idx="68">
                  <c:v>9.443115514365244E-2</c:v>
                </c:pt>
                <c:pt idx="69">
                  <c:v>0.1014365749200955</c:v>
                </c:pt>
                <c:pt idx="70">
                  <c:v>0.10908277313239743</c:v>
                </c:pt>
                <c:pt idx="71">
                  <c:v>0.1172444499751113</c:v>
                </c:pt>
                <c:pt idx="72">
                  <c:v>0.12582133244667618</c:v>
                </c:pt>
                <c:pt idx="73">
                  <c:v>0.13473415060898997</c:v>
                </c:pt>
                <c:pt idx="74">
                  <c:v>0.14392050574874071</c:v>
                </c:pt>
                <c:pt idx="75">
                  <c:v>0.15333124144348073</c:v>
                </c:pt>
                <c:pt idx="76">
                  <c:v>0.16292748148548483</c:v>
                </c:pt>
                <c:pt idx="77">
                  <c:v>0.17267830158067157</c:v>
                </c:pt>
                <c:pt idx="78">
                  <c:v>7.7723421534722864E-2</c:v>
                </c:pt>
                <c:pt idx="79">
                  <c:v>7.5418116426139867E-2</c:v>
                </c:pt>
                <c:pt idx="80">
                  <c:v>7.4648451480574626E-2</c:v>
                </c:pt>
                <c:pt idx="81">
                  <c:v>7.5461429383539794E-2</c:v>
                </c:pt>
                <c:pt idx="82">
                  <c:v>7.7807456800390071E-2</c:v>
                </c:pt>
                <c:pt idx="83">
                  <c:v>8.1554339773310142E-2</c:v>
                </c:pt>
                <c:pt idx="84">
                  <c:v>8.652027121406182E-2</c:v>
                </c:pt>
                <c:pt idx="85">
                  <c:v>9.2509141813268692E-2</c:v>
                </c:pt>
                <c:pt idx="86">
                  <c:v>9.9336107735699231E-2</c:v>
                </c:pt>
                <c:pt idx="87">
                  <c:v>0.1068406302588476</c:v>
                </c:pt>
                <c:pt idx="88">
                  <c:v>0.11489001367009867</c:v>
                </c:pt>
                <c:pt idx="89">
                  <c:v>0.12337766086736078</c:v>
                </c:pt>
                <c:pt idx="90">
                  <c:v>0.1322191973733991</c:v>
                </c:pt>
                <c:pt idx="91">
                  <c:v>0.14134822991466353</c:v>
                </c:pt>
                <c:pt idx="92">
                  <c:v>0.15071252449259037</c:v>
                </c:pt>
                <c:pt idx="93">
                  <c:v>0.16027084878676179</c:v>
                </c:pt>
                <c:pt idx="94">
                  <c:v>0.16999047589705377</c:v>
                </c:pt>
                <c:pt idx="95">
                  <c:v>7.5966843746624962E-2</c:v>
                </c:pt>
                <c:pt idx="96">
                  <c:v>7.4786667817870051E-2</c:v>
                </c:pt>
                <c:pt idx="97">
                  <c:v>7.5184220490439976E-2</c:v>
                </c:pt>
                <c:pt idx="98">
                  <c:v>7.7135110884655481E-2</c:v>
                </c:pt>
                <c:pt idx="99">
                  <c:v>8.0526521374013435E-2</c:v>
                </c:pt>
                <c:pt idx="100">
                  <c:v>8.5186577293545104E-2</c:v>
                </c:pt>
                <c:pt idx="101">
                  <c:v>9.0920417125952363E-2</c:v>
                </c:pt>
                <c:pt idx="102">
                  <c:v>9.753885657881968E-2</c:v>
                </c:pt>
                <c:pt idx="103">
                  <c:v>0.10487455281443772</c:v>
                </c:pt>
                <c:pt idx="104">
                  <c:v>0.11278764163830789</c:v>
                </c:pt>
                <c:pt idx="105">
                  <c:v>0.12116505014901278</c:v>
                </c:pt>
                <c:pt idx="106">
                  <c:v>0.12991698750306888</c:v>
                </c:pt>
                <c:pt idx="107">
                  <c:v>0.1389727127860382</c:v>
                </c:pt>
                <c:pt idx="108">
                  <c:v>0.14827657653630641</c:v>
                </c:pt>
                <c:pt idx="109">
                  <c:v>0.15778468998138551</c:v>
                </c:pt>
                <c:pt idx="110">
                  <c:v>0.16746226628316926</c:v>
                </c:pt>
                <c:pt idx="111">
                  <c:v>7.537627433231224E-2</c:v>
                </c:pt>
                <c:pt idx="112">
                  <c:v>7.5357742607976549E-2</c:v>
                </c:pt>
                <c:pt idx="113">
                  <c:v>7.689949936572045E-2</c:v>
                </c:pt>
                <c:pt idx="114">
                  <c:v>7.9911285982676966E-2</c:v>
                </c:pt>
                <c:pt idx="115">
                  <c:v>8.4235569951714995E-2</c:v>
                </c:pt>
                <c:pt idx="116">
                  <c:v>8.9682695408611041E-2</c:v>
                </c:pt>
                <c:pt idx="117">
                  <c:v>9.6061841848860477E-2</c:v>
                </c:pt>
                <c:pt idx="118">
                  <c:v>0.10320032003833908</c:v>
                </c:pt>
                <c:pt idx="119">
                  <c:v>0.11095166355496469</c:v>
                </c:pt>
                <c:pt idx="120">
                  <c:v>0.11919636835151856</c:v>
                </c:pt>
                <c:pt idx="121">
                  <c:v>0.12783901518607713</c:v>
                </c:pt>
                <c:pt idx="122">
                  <c:v>0.13680420451243291</c:v>
                </c:pt>
                <c:pt idx="123">
                  <c:v>0.14603254409134775</c:v>
                </c:pt>
                <c:pt idx="124">
                  <c:v>0.15547718317580117</c:v>
                </c:pt>
                <c:pt idx="125">
                  <c:v>0.16510100555644772</c:v>
                </c:pt>
                <c:pt idx="126">
                  <c:v>7.5978907633973067E-2</c:v>
                </c:pt>
                <c:pt idx="127">
                  <c:v>7.7104625984927788E-2</c:v>
                </c:pt>
                <c:pt idx="128">
                  <c:v>7.9718186659492818E-2</c:v>
                </c:pt>
                <c:pt idx="129">
                  <c:v>8.3680297640831944E-2</c:v>
                </c:pt>
                <c:pt idx="130">
                  <c:v>8.8810653275477325E-2</c:v>
                </c:pt>
                <c:pt idx="131">
                  <c:v>9.4920013959934851E-2</c:v>
                </c:pt>
                <c:pt idx="132">
                  <c:v>0.10183232766695333</c:v>
                </c:pt>
                <c:pt idx="133">
                  <c:v>0.10939549286402807</c:v>
                </c:pt>
                <c:pt idx="134">
                  <c:v>0.11748387869335872</c:v>
                </c:pt>
                <c:pt idx="135">
                  <c:v>0.12599637550218015</c:v>
                </c:pt>
                <c:pt idx="136">
                  <c:v>0.13485269192535715</c:v>
                </c:pt>
                <c:pt idx="137">
                  <c:v>0.14398940027766813</c:v>
                </c:pt>
                <c:pt idx="138">
                  <c:v>0.15335639294828285</c:v>
                </c:pt>
                <c:pt idx="139">
                  <c:v>0.16291395310676149</c:v>
                </c:pt>
                <c:pt idx="140">
                  <c:v>7.7747002308253529E-2</c:v>
                </c:pt>
                <c:pt idx="141">
                  <c:v>7.9950282145950638E-2</c:v>
                </c:pt>
                <c:pt idx="142">
                  <c:v>8.3528652901223008E-2</c:v>
                </c:pt>
                <c:pt idx="143">
                  <c:v>8.8315123782663721E-2</c:v>
                </c:pt>
                <c:pt idx="144">
                  <c:v>9.4125572056587184E-2</c:v>
                </c:pt>
                <c:pt idx="145">
                  <c:v>0.10078304685903627</c:v>
                </c:pt>
                <c:pt idx="146">
                  <c:v>0.10813121078754258</c:v>
                </c:pt>
                <c:pt idx="147">
                  <c:v>0.11603892429502943</c:v>
                </c:pt>
                <c:pt idx="148">
                  <c:v>0.12439952632423294</c:v>
                </c:pt>
                <c:pt idx="149">
                  <c:v>0.1331277181537257</c:v>
                </c:pt>
                <c:pt idx="150">
                  <c:v>0.14215580721490231</c:v>
                </c:pt>
                <c:pt idx="151">
                  <c:v>0.15143016443893029</c:v>
                </c:pt>
                <c:pt idx="152">
                  <c:v>0.16090821256872131</c:v>
                </c:pt>
                <c:pt idx="153">
                  <c:v>8.0603899534844467E-2</c:v>
                </c:pt>
                <c:pt idx="154">
                  <c:v>8.3782827427788406E-2</c:v>
                </c:pt>
                <c:pt idx="155">
                  <c:v>8.820245300638864E-2</c:v>
                </c:pt>
                <c:pt idx="156">
                  <c:v>9.3687353756375047E-2</c:v>
                </c:pt>
                <c:pt idx="157">
                  <c:v>0.10006250438789982</c:v>
                </c:pt>
                <c:pt idx="158">
                  <c:v>0.10716914811578529</c:v>
                </c:pt>
                <c:pt idx="159">
                  <c:v>0.11487160147018989</c:v>
                </c:pt>
                <c:pt idx="160">
                  <c:v>0.12305803644527846</c:v>
                </c:pt>
                <c:pt idx="161">
                  <c:v>0.1316381891252959</c:v>
                </c:pt>
                <c:pt idx="162">
                  <c:v>0.14053996702570135</c:v>
                </c:pt>
                <c:pt idx="163">
                  <c:v>0.14970600796214428</c:v>
                </c:pt>
                <c:pt idx="164">
                  <c:v>0.15909064177793847</c:v>
                </c:pt>
                <c:pt idx="165">
                  <c:v>8.4439156569467058E-2</c:v>
                </c:pt>
                <c:pt idx="166">
                  <c:v>8.8474103657556147E-2</c:v>
                </c:pt>
                <c:pt idx="167">
                  <c:v>9.3610361962933084E-2</c:v>
                </c:pt>
                <c:pt idx="168">
                  <c:v>9.9677829574249144E-2</c:v>
                </c:pt>
                <c:pt idx="169">
                  <c:v>0.10651749407216221</c:v>
                </c:pt>
                <c:pt idx="170">
                  <c:v>0.11399043982357251</c:v>
                </c:pt>
                <c:pt idx="171">
                  <c:v>0.12198033116821849</c:v>
                </c:pt>
                <c:pt idx="172">
                  <c:v>0.13039217386646848</c:v>
                </c:pt>
                <c:pt idx="173">
                  <c:v>0.13914946572774464</c:v>
                </c:pt>
                <c:pt idx="174">
                  <c:v>0.14819097682378829</c:v>
                </c:pt>
                <c:pt idx="175">
                  <c:v>0.15746775671431498</c:v>
                </c:pt>
                <c:pt idx="176">
                  <c:v>8.9126561662271023E-2</c:v>
                </c:pt>
                <c:pt idx="177">
                  <c:v>9.389548526876762E-2</c:v>
                </c:pt>
                <c:pt idx="178">
                  <c:v>9.9632912769598667E-2</c:v>
                </c:pt>
                <c:pt idx="179">
                  <c:v>0.10618196387819312</c:v>
                </c:pt>
                <c:pt idx="180">
                  <c:v>0.11340211017473927</c:v>
                </c:pt>
                <c:pt idx="181">
                  <c:v>0.12117344892391171</c:v>
                </c:pt>
                <c:pt idx="182">
                  <c:v>0.12939670725766683</c:v>
                </c:pt>
                <c:pt idx="183">
                  <c:v>0.13799111553688942</c:v>
                </c:pt>
                <c:pt idx="184">
                  <c:v>0.14689154188748357</c:v>
                </c:pt>
                <c:pt idx="185">
                  <c:v>0.15604563173004191</c:v>
                </c:pt>
                <c:pt idx="186">
                  <c:v>9.4539447401337059E-2</c:v>
                </c:pt>
                <c:pt idx="187">
                  <c:v>9.9928212129221428E-2</c:v>
                </c:pt>
                <c:pt idx="188">
                  <c:v>0.10616555485049525</c:v>
                </c:pt>
                <c:pt idx="189">
                  <c:v>0.11311118197182234</c:v>
                </c:pt>
                <c:pt idx="190">
                  <c:v>0.12064282378322484</c:v>
                </c:pt>
                <c:pt idx="191">
                  <c:v>0.12865760516462341</c:v>
                </c:pt>
                <c:pt idx="192">
                  <c:v>0.13707080212787973</c:v>
                </c:pt>
                <c:pt idx="193">
                  <c:v>0.14581346720465477</c:v>
                </c:pt>
                <c:pt idx="194">
                  <c:v>0.15482979891960025</c:v>
                </c:pt>
                <c:pt idx="195">
                  <c:v>0.10056073053532233</c:v>
                </c:pt>
                <c:pt idx="196">
                  <c:v>0.10646841453907328</c:v>
                </c:pt>
                <c:pt idx="197">
                  <c:v>0.1131199498590259</c:v>
                </c:pt>
                <c:pt idx="198">
                  <c:v>0.12039210858993818</c:v>
                </c:pt>
                <c:pt idx="199">
                  <c:v>0.12817930237886593</c:v>
                </c:pt>
                <c:pt idx="200">
                  <c:v>0.13639334404182768</c:v>
                </c:pt>
                <c:pt idx="201">
                  <c:v>0.14496169160323127</c:v>
                </c:pt>
                <c:pt idx="202">
                  <c:v>0.1538251499560675</c:v>
                </c:pt>
                <c:pt idx="203">
                  <c:v>0.10708783416561002</c:v>
                </c:pt>
                <c:pt idx="204">
                  <c:v>0.11342834433782929</c:v>
                </c:pt>
                <c:pt idx="205">
                  <c:v>0.12042305163522264</c:v>
                </c:pt>
                <c:pt idx="206">
                  <c:v>0.12796472335779174</c:v>
                </c:pt>
                <c:pt idx="207">
                  <c:v>0.13596237154415627</c:v>
                </c:pt>
                <c:pt idx="208">
                  <c:v>0.14434022142412195</c:v>
                </c:pt>
                <c:pt idx="209">
                  <c:v>0.15303584403203149</c:v>
                </c:pt>
                <c:pt idx="210">
                  <c:v>0.11403393449495912</c:v>
                </c:pt>
                <c:pt idx="211">
                  <c:v>0.12073543636238016</c:v>
                </c:pt>
                <c:pt idx="212">
                  <c:v>0.12801519426929922</c:v>
                </c:pt>
                <c:pt idx="213">
                  <c:v>0.1357802317238295</c:v>
                </c:pt>
                <c:pt idx="214">
                  <c:v>0.143952039524022</c:v>
                </c:pt>
                <c:pt idx="215">
                  <c:v>0.15246522564917123</c:v>
                </c:pt>
                <c:pt idx="216">
                  <c:v>0.12132708888024975</c:v>
                </c:pt>
                <c:pt idx="217">
                  <c:v>0.12833040239025001</c:v>
                </c:pt>
                <c:pt idx="218">
                  <c:v>0.13584792546119095</c:v>
                </c:pt>
                <c:pt idx="219">
                  <c:v>0.14379903518297141</c:v>
                </c:pt>
                <c:pt idx="220">
                  <c:v>0.15211575585709702</c:v>
                </c:pt>
                <c:pt idx="221">
                  <c:v>0.12890840572106751</c:v>
                </c:pt>
                <c:pt idx="222">
                  <c:v>0.13616508014652129</c:v>
                </c:pt>
                <c:pt idx="223">
                  <c:v>0.14388195866768047</c:v>
                </c:pt>
                <c:pt idx="224">
                  <c:v>0.15198896013120824</c:v>
                </c:pt>
                <c:pt idx="225">
                  <c:v>0.13672995986459827</c:v>
                </c:pt>
                <c:pt idx="226">
                  <c:v>0.14420040296271575</c:v>
                </c:pt>
                <c:pt idx="227">
                  <c:v>0.15208539541199506</c:v>
                </c:pt>
                <c:pt idx="228">
                  <c:v>0.14475281369713647</c:v>
                </c:pt>
                <c:pt idx="229">
                  <c:v>0.15240463794631245</c:v>
                </c:pt>
                <c:pt idx="230">
                  <c:v>0.15294529254454711</c:v>
                </c:pt>
              </c:numCache>
            </c:numRef>
          </c:xVal>
          <c:yVal>
            <c:numRef>
              <c:f>'1. Dados Históricos'!$P$3:$P$233</c:f>
              <c:numCache>
                <c:formatCode>0.0%</c:formatCode>
                <c:ptCount val="231"/>
                <c:pt idx="0">
                  <c:v>3.4000000000000002E-2</c:v>
                </c:pt>
                <c:pt idx="1">
                  <c:v>3.5275000000000001E-2</c:v>
                </c:pt>
                <c:pt idx="2">
                  <c:v>3.6549999999999999E-2</c:v>
                </c:pt>
                <c:pt idx="3">
                  <c:v>3.7825000000000004E-2</c:v>
                </c:pt>
                <c:pt idx="4">
                  <c:v>3.9100000000000003E-2</c:v>
                </c:pt>
                <c:pt idx="5">
                  <c:v>4.0375000000000001E-2</c:v>
                </c:pt>
                <c:pt idx="6">
                  <c:v>4.1650000000000006E-2</c:v>
                </c:pt>
                <c:pt idx="7">
                  <c:v>4.2925000000000005E-2</c:v>
                </c:pt>
                <c:pt idx="8">
                  <c:v>4.4200000000000003E-2</c:v>
                </c:pt>
                <c:pt idx="9">
                  <c:v>4.5475000000000002E-2</c:v>
                </c:pt>
                <c:pt idx="10">
                  <c:v>4.675E-2</c:v>
                </c:pt>
                <c:pt idx="11">
                  <c:v>4.8024999999999998E-2</c:v>
                </c:pt>
                <c:pt idx="12">
                  <c:v>4.9300000000000004E-2</c:v>
                </c:pt>
                <c:pt idx="13">
                  <c:v>5.0575000000000002E-2</c:v>
                </c:pt>
                <c:pt idx="14">
                  <c:v>5.1850000000000007E-2</c:v>
                </c:pt>
                <c:pt idx="15">
                  <c:v>5.3125000000000006E-2</c:v>
                </c:pt>
                <c:pt idx="16">
                  <c:v>5.4400000000000004E-2</c:v>
                </c:pt>
                <c:pt idx="17">
                  <c:v>5.5675000000000009E-2</c:v>
                </c:pt>
                <c:pt idx="18">
                  <c:v>5.6950000000000014E-2</c:v>
                </c:pt>
                <c:pt idx="19">
                  <c:v>5.8225000000000013E-2</c:v>
                </c:pt>
                <c:pt idx="20">
                  <c:v>5.9500000000000018E-2</c:v>
                </c:pt>
                <c:pt idx="21">
                  <c:v>3.7400000000000003E-2</c:v>
                </c:pt>
                <c:pt idx="22">
                  <c:v>3.8675000000000001E-2</c:v>
                </c:pt>
                <c:pt idx="23">
                  <c:v>3.9949999999999999E-2</c:v>
                </c:pt>
                <c:pt idx="24">
                  <c:v>4.1224999999999998E-2</c:v>
                </c:pt>
                <c:pt idx="25">
                  <c:v>4.2500000000000003E-2</c:v>
                </c:pt>
                <c:pt idx="26">
                  <c:v>4.3775000000000001E-2</c:v>
                </c:pt>
                <c:pt idx="27">
                  <c:v>4.505E-2</c:v>
                </c:pt>
                <c:pt idx="28">
                  <c:v>4.6325000000000005E-2</c:v>
                </c:pt>
                <c:pt idx="29">
                  <c:v>4.7600000000000003E-2</c:v>
                </c:pt>
                <c:pt idx="30">
                  <c:v>4.8875000000000002E-2</c:v>
                </c:pt>
                <c:pt idx="31">
                  <c:v>5.015E-2</c:v>
                </c:pt>
                <c:pt idx="32">
                  <c:v>5.1424999999999998E-2</c:v>
                </c:pt>
                <c:pt idx="33">
                  <c:v>5.2700000000000004E-2</c:v>
                </c:pt>
                <c:pt idx="34">
                  <c:v>5.3975000000000002E-2</c:v>
                </c:pt>
                <c:pt idx="35">
                  <c:v>5.5250000000000007E-2</c:v>
                </c:pt>
                <c:pt idx="36">
                  <c:v>5.6525000000000006E-2</c:v>
                </c:pt>
                <c:pt idx="37">
                  <c:v>5.7800000000000004E-2</c:v>
                </c:pt>
                <c:pt idx="38">
                  <c:v>5.9075000000000009E-2</c:v>
                </c:pt>
                <c:pt idx="39">
                  <c:v>6.0350000000000015E-2</c:v>
                </c:pt>
                <c:pt idx="40">
                  <c:v>6.162500000000002E-2</c:v>
                </c:pt>
                <c:pt idx="41">
                  <c:v>4.0800000000000003E-2</c:v>
                </c:pt>
                <c:pt idx="42">
                  <c:v>4.2075000000000001E-2</c:v>
                </c:pt>
                <c:pt idx="43">
                  <c:v>4.335E-2</c:v>
                </c:pt>
                <c:pt idx="44">
                  <c:v>4.4625000000000005E-2</c:v>
                </c:pt>
                <c:pt idx="45">
                  <c:v>4.5900000000000003E-2</c:v>
                </c:pt>
                <c:pt idx="46">
                  <c:v>4.7175000000000002E-2</c:v>
                </c:pt>
                <c:pt idx="47">
                  <c:v>4.8450000000000007E-2</c:v>
                </c:pt>
                <c:pt idx="48">
                  <c:v>4.9725000000000005E-2</c:v>
                </c:pt>
                <c:pt idx="49">
                  <c:v>5.1000000000000004E-2</c:v>
                </c:pt>
                <c:pt idx="50">
                  <c:v>5.2275000000000002E-2</c:v>
                </c:pt>
                <c:pt idx="51">
                  <c:v>5.355E-2</c:v>
                </c:pt>
                <c:pt idx="52">
                  <c:v>5.4824999999999999E-2</c:v>
                </c:pt>
                <c:pt idx="53">
                  <c:v>5.6100000000000004E-2</c:v>
                </c:pt>
                <c:pt idx="54">
                  <c:v>5.7375000000000002E-2</c:v>
                </c:pt>
                <c:pt idx="55">
                  <c:v>5.8650000000000008E-2</c:v>
                </c:pt>
                <c:pt idx="56">
                  <c:v>5.9925000000000013E-2</c:v>
                </c:pt>
                <c:pt idx="57">
                  <c:v>6.1200000000000004E-2</c:v>
                </c:pt>
                <c:pt idx="58">
                  <c:v>6.247500000000001E-2</c:v>
                </c:pt>
                <c:pt idx="59">
                  <c:v>6.3750000000000029E-2</c:v>
                </c:pt>
                <c:pt idx="60">
                  <c:v>4.4200000000000003E-2</c:v>
                </c:pt>
                <c:pt idx="61">
                  <c:v>4.5475000000000002E-2</c:v>
                </c:pt>
                <c:pt idx="62">
                  <c:v>4.675E-2</c:v>
                </c:pt>
                <c:pt idx="63">
                  <c:v>4.8024999999999998E-2</c:v>
                </c:pt>
                <c:pt idx="64">
                  <c:v>4.9299999999999997E-2</c:v>
                </c:pt>
                <c:pt idx="65">
                  <c:v>5.0575000000000002E-2</c:v>
                </c:pt>
                <c:pt idx="66">
                  <c:v>5.185E-2</c:v>
                </c:pt>
                <c:pt idx="67">
                  <c:v>5.3124999999999999E-2</c:v>
                </c:pt>
                <c:pt idx="68">
                  <c:v>5.4399999999999997E-2</c:v>
                </c:pt>
                <c:pt idx="69">
                  <c:v>5.5675000000000002E-2</c:v>
                </c:pt>
                <c:pt idx="70">
                  <c:v>5.6949999999999994E-2</c:v>
                </c:pt>
                <c:pt idx="71">
                  <c:v>5.8224999999999999E-2</c:v>
                </c:pt>
                <c:pt idx="72">
                  <c:v>5.9500000000000004E-2</c:v>
                </c:pt>
                <c:pt idx="73">
                  <c:v>6.0774999999999996E-2</c:v>
                </c:pt>
                <c:pt idx="74">
                  <c:v>6.2050000000000001E-2</c:v>
                </c:pt>
                <c:pt idx="75">
                  <c:v>6.3325000000000006E-2</c:v>
                </c:pt>
                <c:pt idx="76">
                  <c:v>6.4600000000000005E-2</c:v>
                </c:pt>
                <c:pt idx="77">
                  <c:v>6.5875000000000017E-2</c:v>
                </c:pt>
                <c:pt idx="78">
                  <c:v>4.7600000000000003E-2</c:v>
                </c:pt>
                <c:pt idx="79">
                  <c:v>4.8875000000000002E-2</c:v>
                </c:pt>
                <c:pt idx="80">
                  <c:v>5.0150000000000007E-2</c:v>
                </c:pt>
                <c:pt idx="81">
                  <c:v>5.1425000000000005E-2</c:v>
                </c:pt>
                <c:pt idx="82">
                  <c:v>5.2700000000000011E-2</c:v>
                </c:pt>
                <c:pt idx="83">
                  <c:v>5.3975000000000002E-2</c:v>
                </c:pt>
                <c:pt idx="84">
                  <c:v>5.5250000000000007E-2</c:v>
                </c:pt>
                <c:pt idx="85">
                  <c:v>5.6524999999999999E-2</c:v>
                </c:pt>
                <c:pt idx="86">
                  <c:v>5.7800000000000004E-2</c:v>
                </c:pt>
                <c:pt idx="87">
                  <c:v>5.9075000000000003E-2</c:v>
                </c:pt>
                <c:pt idx="88">
                  <c:v>6.0350000000000001E-2</c:v>
                </c:pt>
                <c:pt idx="89">
                  <c:v>6.1624999999999999E-2</c:v>
                </c:pt>
                <c:pt idx="90">
                  <c:v>6.2900000000000011E-2</c:v>
                </c:pt>
                <c:pt idx="91">
                  <c:v>6.417500000000001E-2</c:v>
                </c:pt>
                <c:pt idx="92">
                  <c:v>6.5450000000000008E-2</c:v>
                </c:pt>
                <c:pt idx="93">
                  <c:v>6.6725000000000007E-2</c:v>
                </c:pt>
                <c:pt idx="94">
                  <c:v>6.8000000000000005E-2</c:v>
                </c:pt>
                <c:pt idx="95">
                  <c:v>5.1000000000000004E-2</c:v>
                </c:pt>
                <c:pt idx="96">
                  <c:v>5.2275000000000002E-2</c:v>
                </c:pt>
                <c:pt idx="97">
                  <c:v>5.355E-2</c:v>
                </c:pt>
                <c:pt idx="98">
                  <c:v>5.4824999999999999E-2</c:v>
                </c:pt>
                <c:pt idx="99">
                  <c:v>5.6100000000000004E-2</c:v>
                </c:pt>
                <c:pt idx="100">
                  <c:v>5.7375000000000002E-2</c:v>
                </c:pt>
                <c:pt idx="101">
                  <c:v>5.8650000000000001E-2</c:v>
                </c:pt>
                <c:pt idx="102">
                  <c:v>5.9924999999999999E-2</c:v>
                </c:pt>
                <c:pt idx="103">
                  <c:v>6.1199999999999997E-2</c:v>
                </c:pt>
                <c:pt idx="104">
                  <c:v>6.2475000000000003E-2</c:v>
                </c:pt>
                <c:pt idx="105">
                  <c:v>6.3750000000000001E-2</c:v>
                </c:pt>
                <c:pt idx="106">
                  <c:v>6.5024999999999999E-2</c:v>
                </c:pt>
                <c:pt idx="107">
                  <c:v>6.6300000000000012E-2</c:v>
                </c:pt>
                <c:pt idx="108">
                  <c:v>6.7574999999999996E-2</c:v>
                </c:pt>
                <c:pt idx="109">
                  <c:v>6.8849999999999995E-2</c:v>
                </c:pt>
                <c:pt idx="110">
                  <c:v>7.0125000000000007E-2</c:v>
                </c:pt>
                <c:pt idx="111">
                  <c:v>5.4399999999999997E-2</c:v>
                </c:pt>
                <c:pt idx="112">
                  <c:v>5.5674999999999988E-2</c:v>
                </c:pt>
                <c:pt idx="113">
                  <c:v>5.6950000000000001E-2</c:v>
                </c:pt>
                <c:pt idx="114">
                  <c:v>5.8224999999999999E-2</c:v>
                </c:pt>
                <c:pt idx="115">
                  <c:v>5.9499999999999997E-2</c:v>
                </c:pt>
                <c:pt idx="116">
                  <c:v>6.0774999999999996E-2</c:v>
                </c:pt>
                <c:pt idx="117">
                  <c:v>6.2049999999999994E-2</c:v>
                </c:pt>
                <c:pt idx="118">
                  <c:v>6.3324999999999992E-2</c:v>
                </c:pt>
                <c:pt idx="119">
                  <c:v>6.4599999999999991E-2</c:v>
                </c:pt>
                <c:pt idx="120">
                  <c:v>6.5874999999999989E-2</c:v>
                </c:pt>
                <c:pt idx="121">
                  <c:v>6.7149999999999987E-2</c:v>
                </c:pt>
                <c:pt idx="122">
                  <c:v>6.8425E-2</c:v>
                </c:pt>
                <c:pt idx="123">
                  <c:v>6.9699999999999998E-2</c:v>
                </c:pt>
                <c:pt idx="124">
                  <c:v>7.0974999999999996E-2</c:v>
                </c:pt>
                <c:pt idx="125">
                  <c:v>7.2250000000000009E-2</c:v>
                </c:pt>
                <c:pt idx="126">
                  <c:v>5.7799999999999997E-2</c:v>
                </c:pt>
                <c:pt idx="127">
                  <c:v>5.9074999999999996E-2</c:v>
                </c:pt>
                <c:pt idx="128">
                  <c:v>6.0349999999999994E-2</c:v>
                </c:pt>
                <c:pt idx="129">
                  <c:v>6.1624999999999999E-2</c:v>
                </c:pt>
                <c:pt idx="130">
                  <c:v>6.2899999999999998E-2</c:v>
                </c:pt>
                <c:pt idx="131">
                  <c:v>6.4174999999999996E-2</c:v>
                </c:pt>
                <c:pt idx="132">
                  <c:v>6.5450000000000008E-2</c:v>
                </c:pt>
                <c:pt idx="133">
                  <c:v>6.6724999999999993E-2</c:v>
                </c:pt>
                <c:pt idx="134">
                  <c:v>6.8000000000000005E-2</c:v>
                </c:pt>
                <c:pt idx="135">
                  <c:v>6.9275000000000003E-2</c:v>
                </c:pt>
                <c:pt idx="136">
                  <c:v>7.0550000000000002E-2</c:v>
                </c:pt>
                <c:pt idx="137">
                  <c:v>7.1824999999999986E-2</c:v>
                </c:pt>
                <c:pt idx="138">
                  <c:v>7.3099999999999998E-2</c:v>
                </c:pt>
                <c:pt idx="139">
                  <c:v>7.4374999999999997E-2</c:v>
                </c:pt>
                <c:pt idx="140">
                  <c:v>6.1200000000000004E-2</c:v>
                </c:pt>
                <c:pt idx="141">
                  <c:v>6.2475000000000003E-2</c:v>
                </c:pt>
                <c:pt idx="142">
                  <c:v>6.3750000000000001E-2</c:v>
                </c:pt>
                <c:pt idx="143">
                  <c:v>6.5024999999999999E-2</c:v>
                </c:pt>
                <c:pt idx="144">
                  <c:v>6.6299999999999998E-2</c:v>
                </c:pt>
                <c:pt idx="145">
                  <c:v>6.7574999999999996E-2</c:v>
                </c:pt>
                <c:pt idx="146">
                  <c:v>6.8850000000000008E-2</c:v>
                </c:pt>
                <c:pt idx="147">
                  <c:v>7.0124999999999993E-2</c:v>
                </c:pt>
                <c:pt idx="148">
                  <c:v>7.1400000000000005E-2</c:v>
                </c:pt>
                <c:pt idx="149">
                  <c:v>7.2675000000000003E-2</c:v>
                </c:pt>
                <c:pt idx="150">
                  <c:v>7.3950000000000002E-2</c:v>
                </c:pt>
                <c:pt idx="151">
                  <c:v>7.5225000000000014E-2</c:v>
                </c:pt>
                <c:pt idx="152">
                  <c:v>7.6500000000000012E-2</c:v>
                </c:pt>
                <c:pt idx="153">
                  <c:v>6.4599999999999991E-2</c:v>
                </c:pt>
                <c:pt idx="154">
                  <c:v>6.5874999999999989E-2</c:v>
                </c:pt>
                <c:pt idx="155">
                  <c:v>6.7150000000000001E-2</c:v>
                </c:pt>
                <c:pt idx="156">
                  <c:v>6.8425E-2</c:v>
                </c:pt>
                <c:pt idx="157">
                  <c:v>6.9699999999999998E-2</c:v>
                </c:pt>
                <c:pt idx="158">
                  <c:v>7.0974999999999996E-2</c:v>
                </c:pt>
                <c:pt idx="159">
                  <c:v>7.2250000000000009E-2</c:v>
                </c:pt>
                <c:pt idx="160">
                  <c:v>7.3524999999999993E-2</c:v>
                </c:pt>
                <c:pt idx="161">
                  <c:v>7.4800000000000005E-2</c:v>
                </c:pt>
                <c:pt idx="162">
                  <c:v>7.607499999999999E-2</c:v>
                </c:pt>
                <c:pt idx="163">
                  <c:v>7.7350000000000002E-2</c:v>
                </c:pt>
                <c:pt idx="164">
                  <c:v>7.8625E-2</c:v>
                </c:pt>
                <c:pt idx="165">
                  <c:v>6.8000000000000005E-2</c:v>
                </c:pt>
                <c:pt idx="166">
                  <c:v>6.9275000000000003E-2</c:v>
                </c:pt>
                <c:pt idx="167">
                  <c:v>7.0550000000000002E-2</c:v>
                </c:pt>
                <c:pt idx="168">
                  <c:v>7.1825E-2</c:v>
                </c:pt>
                <c:pt idx="169">
                  <c:v>7.3099999999999998E-2</c:v>
                </c:pt>
                <c:pt idx="170">
                  <c:v>7.4374999999999997E-2</c:v>
                </c:pt>
                <c:pt idx="171">
                  <c:v>7.5649999999999995E-2</c:v>
                </c:pt>
                <c:pt idx="172">
                  <c:v>7.6925000000000007E-2</c:v>
                </c:pt>
                <c:pt idx="173">
                  <c:v>7.8199999999999992E-2</c:v>
                </c:pt>
                <c:pt idx="174">
                  <c:v>7.9475000000000004E-2</c:v>
                </c:pt>
                <c:pt idx="175">
                  <c:v>8.0749999999999988E-2</c:v>
                </c:pt>
                <c:pt idx="176">
                  <c:v>7.1400000000000005E-2</c:v>
                </c:pt>
                <c:pt idx="177">
                  <c:v>7.2675000000000003E-2</c:v>
                </c:pt>
                <c:pt idx="178">
                  <c:v>7.3950000000000016E-2</c:v>
                </c:pt>
                <c:pt idx="179">
                  <c:v>7.5225E-2</c:v>
                </c:pt>
                <c:pt idx="180">
                  <c:v>7.6499999999999999E-2</c:v>
                </c:pt>
                <c:pt idx="181">
                  <c:v>7.7775000000000011E-2</c:v>
                </c:pt>
                <c:pt idx="182">
                  <c:v>7.9049999999999995E-2</c:v>
                </c:pt>
                <c:pt idx="183">
                  <c:v>8.0325000000000008E-2</c:v>
                </c:pt>
                <c:pt idx="184">
                  <c:v>8.1599999999999992E-2</c:v>
                </c:pt>
                <c:pt idx="185">
                  <c:v>8.2875000000000004E-2</c:v>
                </c:pt>
                <c:pt idx="186">
                  <c:v>7.4799999999999991E-2</c:v>
                </c:pt>
                <c:pt idx="187">
                  <c:v>7.6075000000000004E-2</c:v>
                </c:pt>
                <c:pt idx="188">
                  <c:v>7.7349999999999988E-2</c:v>
                </c:pt>
                <c:pt idx="189">
                  <c:v>7.8625E-2</c:v>
                </c:pt>
                <c:pt idx="190">
                  <c:v>7.9899999999999999E-2</c:v>
                </c:pt>
                <c:pt idx="191">
                  <c:v>8.1174999999999997E-2</c:v>
                </c:pt>
                <c:pt idx="192">
                  <c:v>8.2449999999999996E-2</c:v>
                </c:pt>
                <c:pt idx="193">
                  <c:v>8.3724999999999994E-2</c:v>
                </c:pt>
                <c:pt idx="194">
                  <c:v>8.4999999999999992E-2</c:v>
                </c:pt>
                <c:pt idx="195">
                  <c:v>7.8199999999999992E-2</c:v>
                </c:pt>
                <c:pt idx="196">
                  <c:v>7.9475000000000004E-2</c:v>
                </c:pt>
                <c:pt idx="197">
                  <c:v>8.0749999999999988E-2</c:v>
                </c:pt>
                <c:pt idx="198">
                  <c:v>8.2025000000000001E-2</c:v>
                </c:pt>
                <c:pt idx="199">
                  <c:v>8.3299999999999985E-2</c:v>
                </c:pt>
                <c:pt idx="200">
                  <c:v>8.4574999999999997E-2</c:v>
                </c:pt>
                <c:pt idx="201">
                  <c:v>8.5849999999999996E-2</c:v>
                </c:pt>
                <c:pt idx="202">
                  <c:v>8.7124999999999994E-2</c:v>
                </c:pt>
                <c:pt idx="203">
                  <c:v>8.1599999999999992E-2</c:v>
                </c:pt>
                <c:pt idx="204">
                  <c:v>8.2875000000000004E-2</c:v>
                </c:pt>
                <c:pt idx="205">
                  <c:v>8.4149999999999989E-2</c:v>
                </c:pt>
                <c:pt idx="206">
                  <c:v>8.5425000000000001E-2</c:v>
                </c:pt>
                <c:pt idx="207">
                  <c:v>8.6699999999999985E-2</c:v>
                </c:pt>
                <c:pt idx="208">
                  <c:v>8.7974999999999998E-2</c:v>
                </c:pt>
                <c:pt idx="209">
                  <c:v>8.9249999999999996E-2</c:v>
                </c:pt>
                <c:pt idx="210">
                  <c:v>8.4999999999999992E-2</c:v>
                </c:pt>
                <c:pt idx="211">
                  <c:v>8.6275000000000004E-2</c:v>
                </c:pt>
                <c:pt idx="212">
                  <c:v>8.7549999999999989E-2</c:v>
                </c:pt>
                <c:pt idx="213">
                  <c:v>8.8825000000000001E-2</c:v>
                </c:pt>
                <c:pt idx="214">
                  <c:v>9.01E-2</c:v>
                </c:pt>
                <c:pt idx="215">
                  <c:v>9.1374999999999998E-2</c:v>
                </c:pt>
                <c:pt idx="216">
                  <c:v>8.8400000000000006E-2</c:v>
                </c:pt>
                <c:pt idx="217">
                  <c:v>8.9675000000000005E-2</c:v>
                </c:pt>
                <c:pt idx="218">
                  <c:v>9.0950000000000003E-2</c:v>
                </c:pt>
                <c:pt idx="219">
                  <c:v>9.2225000000000001E-2</c:v>
                </c:pt>
                <c:pt idx="220">
                  <c:v>9.35E-2</c:v>
                </c:pt>
                <c:pt idx="221">
                  <c:v>9.1799999999999993E-2</c:v>
                </c:pt>
                <c:pt idx="222">
                  <c:v>9.3074999999999991E-2</c:v>
                </c:pt>
                <c:pt idx="223">
                  <c:v>9.4349999999999989E-2</c:v>
                </c:pt>
                <c:pt idx="224">
                  <c:v>9.5624999999999988E-2</c:v>
                </c:pt>
                <c:pt idx="225">
                  <c:v>9.5199999999999993E-2</c:v>
                </c:pt>
                <c:pt idx="226">
                  <c:v>9.6474999999999991E-2</c:v>
                </c:pt>
                <c:pt idx="227">
                  <c:v>9.774999999999999E-2</c:v>
                </c:pt>
                <c:pt idx="228">
                  <c:v>9.8599999999999993E-2</c:v>
                </c:pt>
                <c:pt idx="229">
                  <c:v>9.9874999999999992E-2</c:v>
                </c:pt>
                <c:pt idx="230">
                  <c:v>0.10199999999999999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28-4454-9E25-FEC025675C48}"/>
            </c:ext>
          </c:extLst>
        </c:ser>
        <c:ser>
          <c:idx val="1"/>
          <c:order val="1"/>
          <c:tx>
            <c:v>Jovem Profissional</c:v>
          </c:tx>
          <c:spPr>
            <a:ln w="25400" cap="rnd">
              <a:noFill/>
              <a:round/>
            </a:ln>
            <a:effectLst>
              <a:glow rad="127000">
                <a:schemeClr val="accent6">
                  <a:lumMod val="75000"/>
                </a:schemeClr>
              </a:glow>
            </a:effectLst>
          </c:spPr>
          <c:marker>
            <c:symbol val="circle"/>
            <c:size val="7"/>
            <c:spPr>
              <a:solidFill>
                <a:schemeClr val="accent3">
                  <a:lumMod val="60000"/>
                  <a:lumOff val="40000"/>
                </a:schemeClr>
              </a:solidFill>
              <a:ln w="12700">
                <a:noFill/>
              </a:ln>
              <a:effectLst>
                <a:glow rad="127000">
                  <a:schemeClr val="accent6">
                    <a:lumMod val="75000"/>
                  </a:schemeClr>
                </a:glow>
              </a:effectLst>
            </c:spPr>
          </c:marker>
          <c:dPt>
            <c:idx val="0"/>
            <c:marker>
              <c:symbol val="circle"/>
              <c:size val="8"/>
              <c:spPr>
                <a:solidFill>
                  <a:schemeClr val="accent3">
                    <a:lumMod val="60000"/>
                    <a:lumOff val="40000"/>
                  </a:schemeClr>
                </a:solidFill>
                <a:ln w="12700">
                  <a:noFill/>
                </a:ln>
                <a:effectLst>
                  <a:glow rad="127000">
                    <a:schemeClr val="accent6">
                      <a:lumMod val="75000"/>
                    </a:schemeClr>
                  </a:glo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29B1-4B42-84FE-6B9CBBCB6A57}"/>
              </c:ext>
            </c:extLst>
          </c:dPt>
          <c:xVal>
            <c:numRef>
              <c:f>'1. Dados Históricos'!$AK$12</c:f>
              <c:numCache>
                <c:formatCode>0.00%</c:formatCode>
                <c:ptCount val="1"/>
                <c:pt idx="0">
                  <c:v>9.1628270783809918E-2</c:v>
                </c:pt>
              </c:numCache>
            </c:numRef>
          </c:xVal>
          <c:yVal>
            <c:numRef>
              <c:f>'1. Dados Históricos'!$AL$12</c:f>
              <c:numCache>
                <c:formatCode>0.00%</c:formatCode>
                <c:ptCount val="1"/>
                <c:pt idx="0">
                  <c:v>6.8507045449759801E-2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B1-4B42-84FE-6B9CBBCB6A57}"/>
            </c:ext>
          </c:extLst>
        </c:ser>
        <c:ser>
          <c:idx val="4"/>
          <c:order val="2"/>
          <c:tx>
            <c:v>Variância Mìnima Global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tx1"/>
                </a:solidFill>
              </a:ln>
              <a:effectLst/>
            </c:spPr>
          </c:marker>
          <c:xVal>
            <c:numRef>
              <c:f>'1. Dados Históricos'!$AD$4</c:f>
              <c:numCache>
                <c:formatCode>0.00%</c:formatCode>
                <c:ptCount val="1"/>
                <c:pt idx="0">
                  <c:v>7.4638251839662648E-2</c:v>
                </c:pt>
              </c:numCache>
            </c:numRef>
          </c:xVal>
          <c:yVal>
            <c:numRef>
              <c:f>'1. Dados Históricos'!$AE$4</c:f>
              <c:numCache>
                <c:formatCode>0.00%</c:formatCode>
                <c:ptCount val="1"/>
                <c:pt idx="0">
                  <c:v>5.0726327844655382E-2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9B1-4B42-84FE-6B9CBBCB6A57}"/>
            </c:ext>
          </c:extLst>
        </c:ser>
        <c:ser>
          <c:idx val="3"/>
          <c:order val="3"/>
          <c:tx>
            <c:v>Aposentadoria</c:v>
          </c:tx>
          <c:spPr>
            <a:ln w="25400" cap="rnd">
              <a:noFill/>
              <a:round/>
            </a:ln>
            <a:effectLst>
              <a:glow rad="165100">
                <a:srgbClr val="FFFF00">
                  <a:alpha val="57000"/>
                </a:srgbClr>
              </a:glow>
            </a:effectLst>
          </c:spPr>
          <c:marker>
            <c:symbol val="circle"/>
            <c:size val="8"/>
            <c:spPr>
              <a:solidFill>
                <a:srgbClr val="EEEE58"/>
              </a:solidFill>
              <a:ln w="9525">
                <a:noFill/>
              </a:ln>
              <a:effectLst>
                <a:glow rad="165100">
                  <a:srgbClr val="FFFF00">
                    <a:alpha val="57000"/>
                  </a:srgbClr>
                </a:glow>
              </a:effectLst>
            </c:spPr>
          </c:marker>
          <c:xVal>
            <c:numRef>
              <c:f>'1. Dados Históricos'!$AD$34</c:f>
              <c:numCache>
                <c:formatCode>0.00%</c:formatCode>
                <c:ptCount val="1"/>
                <c:pt idx="0">
                  <c:v>9.0607072880275502E-2</c:v>
                </c:pt>
              </c:numCache>
            </c:numRef>
          </c:xVal>
          <c:yVal>
            <c:numRef>
              <c:f>'1. Dados Históricos'!$AE$34</c:f>
              <c:numCache>
                <c:formatCode>0.00%</c:formatCode>
                <c:ptCount val="1"/>
                <c:pt idx="0">
                  <c:v>7.0663571873546285E-2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9B1-4B42-84FE-6B9CBBCB6A57}"/>
            </c:ext>
          </c:extLst>
        </c:ser>
        <c:ser>
          <c:idx val="2"/>
          <c:order val="4"/>
          <c:tx>
            <c:v>Familia em Crescimento</c:v>
          </c:tx>
          <c:spPr>
            <a:ln w="25400" cap="rnd">
              <a:noFill/>
              <a:round/>
            </a:ln>
            <a:effectLst>
              <a:glow rad="127000">
                <a:schemeClr val="accent5">
                  <a:lumMod val="75000"/>
                </a:schemeClr>
              </a:glow>
            </a:effectLst>
          </c:spPr>
          <c:marker>
            <c:symbol val="circle"/>
            <c:size val="8"/>
            <c:spPr>
              <a:solidFill>
                <a:schemeClr val="accent5">
                  <a:lumMod val="60000"/>
                  <a:lumOff val="40000"/>
                </a:schemeClr>
              </a:solidFill>
              <a:ln w="0">
                <a:noFill/>
              </a:ln>
              <a:effectLst>
                <a:glow rad="127000">
                  <a:schemeClr val="accent5">
                    <a:lumMod val="75000"/>
                  </a:schemeClr>
                </a:glow>
              </a:effectLst>
            </c:spPr>
          </c:marker>
          <c:xVal>
            <c:numRef>
              <c:f>'1. Dados Históricos'!$AK$23</c:f>
              <c:numCache>
                <c:formatCode>0.00%</c:formatCode>
                <c:ptCount val="1"/>
                <c:pt idx="0">
                  <c:v>8.4054811554923906E-2</c:v>
                </c:pt>
              </c:numCache>
            </c:numRef>
          </c:xVal>
          <c:yVal>
            <c:numRef>
              <c:f>'1. Dados Históricos'!$AL$23</c:f>
              <c:numCache>
                <c:formatCode>0.00%</c:formatCode>
                <c:ptCount val="1"/>
                <c:pt idx="0">
                  <c:v>6.2280366048491971E-2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9B1-4B42-84FE-6B9CBBCB6A57}"/>
            </c:ext>
          </c:extLst>
        </c:ser>
        <c:ser>
          <c:idx val="5"/>
          <c:order val="5"/>
          <c:tx>
            <c:v>Aplicação Ótima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2">
                  <a:lumMod val="60000"/>
                  <a:lumOff val="40000"/>
                </a:schemeClr>
              </a:solidFill>
              <a:ln w="15875">
                <a:solidFill>
                  <a:schemeClr val="tx1"/>
                </a:solidFill>
              </a:ln>
              <a:effectLst/>
            </c:spPr>
          </c:marker>
          <c:xVal>
            <c:numRef>
              <c:f>'1. Dados Históricos'!$AK$4</c:f>
              <c:numCache>
                <c:formatCode>0.00%</c:formatCode>
                <c:ptCount val="1"/>
                <c:pt idx="0">
                  <c:v>0.1525219010566389</c:v>
                </c:pt>
              </c:numCache>
            </c:numRef>
          </c:xVal>
          <c:yVal>
            <c:numRef>
              <c:f>'1. Dados Históricos'!$AL$4</c:f>
              <c:numCache>
                <c:formatCode>0.00%</c:formatCode>
                <c:ptCount val="1"/>
                <c:pt idx="0">
                  <c:v>0.10182581898615564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9B1-4B42-84FE-6B9CBBCB6A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1421760"/>
        <c:axId val="951422240"/>
        <c:extLst/>
      </c:scatterChart>
      <c:valAx>
        <c:axId val="951421760"/>
        <c:scaling>
          <c:orientation val="minMax"/>
          <c:min val="5.000000000000001E-2"/>
        </c:scaling>
        <c:delete val="0"/>
        <c:axPos val="b"/>
        <c:majorGridlines>
          <c:spPr>
            <a:ln w="9525" cap="flat" cmpd="sng" algn="ctr">
              <a:solidFill>
                <a:schemeClr val="bg2">
                  <a:lumMod val="50000"/>
                  <a:alpha val="67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>
                    <a:solidFill>
                      <a:schemeClr val="bg1"/>
                    </a:solidFill>
                  </a:rPr>
                  <a:t>Desvio</a:t>
                </a:r>
                <a:r>
                  <a:rPr lang="pt-BR" baseline="0">
                    <a:solidFill>
                      <a:schemeClr val="bg1"/>
                    </a:solidFill>
                  </a:rPr>
                  <a:t> Padrão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51422240"/>
        <c:crosses val="autoZero"/>
        <c:crossBetween val="midCat"/>
      </c:valAx>
      <c:valAx>
        <c:axId val="951422240"/>
        <c:scaling>
          <c:orientation val="minMax"/>
          <c:min val="2.0000000000000004E-2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50000"/>
                  <a:alpha val="39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>
                    <a:solidFill>
                      <a:schemeClr val="bg1"/>
                    </a:solidFill>
                  </a:rPr>
                  <a:t>Retorno</a:t>
                </a:r>
                <a:r>
                  <a:rPr lang="pt-BR" baseline="0">
                    <a:solidFill>
                      <a:schemeClr val="bg1"/>
                    </a:solidFill>
                  </a:rPr>
                  <a:t> Esperado</a:t>
                </a:r>
                <a:endParaRPr lang="pt-BR">
                  <a:solidFill>
                    <a:schemeClr val="bg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514217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7.8516066433813522E-2"/>
          <c:y val="9.0967106586191684E-2"/>
          <c:w val="0.17845897655347437"/>
          <c:h val="0.221968011972853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2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8965</xdr:rowOff>
    </xdr:from>
    <xdr:to>
      <xdr:col>14</xdr:col>
      <xdr:colOff>349624</xdr:colOff>
      <xdr:row>27</xdr:row>
      <xdr:rowOff>169954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F429F52-4FCE-20F0-3F5B-FDE8DC2E87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965"/>
          <a:ext cx="8884024" cy="50019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59046</xdr:colOff>
      <xdr:row>15</xdr:row>
      <xdr:rowOff>221673</xdr:rowOff>
    </xdr:from>
    <xdr:to>
      <xdr:col>8</xdr:col>
      <xdr:colOff>1454727</xdr:colOff>
      <xdr:row>19</xdr:row>
      <xdr:rowOff>237075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BD77A67-9929-B7BB-D049-5474497980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07846" y="3671455"/>
          <a:ext cx="7325426" cy="956522"/>
        </a:xfrm>
        <a:prstGeom prst="rect">
          <a:avLst/>
        </a:prstGeom>
      </xdr:spPr>
    </xdr:pic>
    <xdr:clientData/>
  </xdr:twoCellAnchor>
  <xdr:twoCellAnchor>
    <xdr:from>
      <xdr:col>17</xdr:col>
      <xdr:colOff>69798</xdr:colOff>
      <xdr:row>2</xdr:row>
      <xdr:rowOff>75925</xdr:rowOff>
    </xdr:from>
    <xdr:to>
      <xdr:col>23</xdr:col>
      <xdr:colOff>100534</xdr:colOff>
      <xdr:row>25</xdr:row>
      <xdr:rowOff>147918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6CCD6FC-4152-855A-007E-FD111667EC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39277D0-C6B4-435A-9311-09CC95845BC7}" name="Tabela3" displayName="Tabela3" ref="A2:D32" totalsRowShown="0" headerRowDxfId="38" dataDxfId="37" tableBorderDxfId="36">
  <tableColumns count="4">
    <tableColumn id="1" xr3:uid="{FABC3A03-5781-4652-BE8A-9BC57B10AC55}" name="Ano" dataDxfId="35"/>
    <tableColumn id="2" xr3:uid="{F6F2D07E-7226-4925-99B2-7D823B36A50E}" name="Private Equity Returns" dataDxfId="34"/>
    <tableColumn id="3" xr3:uid="{1E2262D7-FABC-4930-AEC6-8B42310BB47C}" name="S&amp;P500" dataDxfId="33"/>
    <tableColumn id="4" xr3:uid="{23B4C8EA-B614-4721-B0D7-2301607DDD8A}" name="Treasury Bond (10 anos)" dataDxfId="32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54D1D08-A4B9-492A-A855-B2EED1DB02B0}" name="Tabela4" displayName="Tabela4" ref="F3:I7" totalsRowShown="0" headerRowDxfId="31">
  <tableColumns count="4">
    <tableColumn id="1" xr3:uid="{BB96280C-1C65-4143-BF1D-06A295A9C7C1}" name="Medidas" dataDxfId="30"/>
    <tableColumn id="2" xr3:uid="{41B41A03-52D5-45BB-B750-DB3BA0BD631D}" name="Private Equity Returns" dataDxfId="29" dataCellStyle="Porcentagem"/>
    <tableColumn id="3" xr3:uid="{7D88C138-B5F1-4913-9749-88D345EBD28F}" name="S&amp;P500" dataDxfId="28"/>
    <tableColumn id="4" xr3:uid="{A7173916-15C9-4793-A253-C2B91790ECDC}" name="Treasury Bond (10 anos)" dataDxfId="27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BFA255B-C2F6-4B17-BF17-278D5A380C3E}" name="Tabela5" displayName="Tabela5" ref="F9:G12" totalsRowShown="0" headerRowDxfId="26" dataDxfId="25" headerRowCellStyle="Porcentagem">
  <tableColumns count="2">
    <tableColumn id="1" xr3:uid="{89CBB100-4009-4E1A-B8EC-DF9FE0E887EA}" name="Pares" dataDxfId="24"/>
    <tableColumn id="2" xr3:uid="{08F37FE3-409D-4B74-8639-732400287D90}" name="Correlação" dataDxfId="23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3E957F-5D80-4499-872B-AA8DE3C43464}" name="Tabela1" displayName="Tabela1" ref="A2:C18" totalsRowShown="0">
  <autoFilter ref="A2:C18" xr:uid="{323E957F-5D80-4499-872B-AA8DE3C43464}"/>
  <tableColumns count="3">
    <tableColumn id="1" xr3:uid="{1A2EF363-FE4A-4D1B-A321-4FA9535D2DFE}" name="Parâmetro"/>
    <tableColumn id="2" xr3:uid="{8E2E1098-24EB-4FED-8C8A-164A5EA1E215}" name="Valor padrão" dataDxfId="22"/>
    <tableColumn id="3" xr3:uid="{4042B8DB-BDD7-4B84-81C0-5BB2F9D36460}" name="Descrição" dataDxfId="21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39A161-FDCE-470D-BEF1-FA3DF316A815}" name="Tabela2" displayName="Tabela2" ref="E2:H8" totalsRowShown="0">
  <autoFilter ref="E2:H8" xr:uid="{E239A161-FDCE-470D-BEF1-FA3DF316A815}"/>
  <tableColumns count="4">
    <tableColumn id="1" xr3:uid="{10414D94-6FC9-4724-BC42-AFF278ABB650}" name="Fase da Vida"/>
    <tableColumn id="2" xr3:uid="{5A00A721-9727-4BCF-AB34-013A49CE8312}" name="Jovem Profissional" dataDxfId="20"/>
    <tableColumn id="3" xr3:uid="{3C2E0BDB-7C7C-4BBD-89D7-BB58662F7B86}" name="Familia em Crescimento" dataDxfId="19"/>
    <tableColumn id="4" xr3:uid="{40D2EDBA-86C5-4248-9214-A8C1A2AD2AA1}" name="Aposentadoria" dataDxfId="18"/>
  </tableColumns>
  <tableStyleInfo name="TableStyleLight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79DED81-3B73-4BF4-8A77-583CEEA1825E}" name="Tabela9" displayName="Tabela9" ref="J12:M18" totalsRowShown="0" headerRowDxfId="1" dataDxfId="0" dataCellStyle="Moeda">
  <tableColumns count="4">
    <tableColumn id="1" xr3:uid="{CC67B206-C2E2-4063-838D-98620BBCE41C}" name="Coluna1" dataDxfId="5"/>
    <tableColumn id="2" xr3:uid="{4795C317-9210-4D79-91D9-F0AD6777E9BD}" name="Jovem Profissional" dataDxfId="4" dataCellStyle="Moeda"/>
    <tableColumn id="3" xr3:uid="{284A70DF-E860-41A6-A09C-35BCC9BB18ED}" name="Família em Crescimento" dataDxfId="3" dataCellStyle="Moeda"/>
    <tableColumn id="4" xr3:uid="{C9E89D92-7310-498D-97F0-A5D2997D0128}" name="Aposentadoria" dataDxfId="2" dataCellStyle="Moeda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A123381-BC16-4D77-8CAE-7D74B45FFEAA}" name="Tabela37" displayName="Tabela37" ref="E2:H32" totalsRowShown="0" headerRowDxfId="17" dataDxfId="16" tableBorderDxfId="15">
  <tableColumns count="4">
    <tableColumn id="1" xr3:uid="{0F9125D7-4FC7-4315-A4C6-8A07FC6A8AA6}" name="Ano" dataDxfId="14"/>
    <tableColumn id="2" xr3:uid="{2286639B-E28D-41A4-B0AA-1CF321477D66}" name="Private Equity Returns" dataDxfId="13"/>
    <tableColumn id="3" xr3:uid="{B91E9999-2903-49EC-BBE9-F42A10ECC372}" name="S&amp;P500" dataDxfId="12"/>
    <tableColumn id="4" xr3:uid="{14B6672B-2F39-4514-BF90-5A9C22ED9DF1}" name="Treasury Bond (10 anos)" dataDxfId="11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ADC3E85-4CEF-4774-A2CA-DC0A3577CE2E}" name="Tabela18" displayName="Tabela18" ref="A2:C18" totalsRowShown="0">
  <autoFilter ref="A2:C18" xr:uid="{5ADC3E85-4CEF-4774-A2CA-DC0A3577CE2E}"/>
  <tableColumns count="3">
    <tableColumn id="1" xr3:uid="{AC10E49D-09BC-408B-8F56-13C2A7D48CF3}" name="Parâmetro"/>
    <tableColumn id="2" xr3:uid="{59A45D5D-7331-457C-85D7-4443995CE9A1}" name="Valor padrão" dataDxfId="10"/>
    <tableColumn id="3" xr3:uid="{56F8DAA9-D75D-4DFE-8D00-05F26950D242}" name="Descrição" dataDxfId="9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0665362-E201-4B66-877D-213A89F67D76}" name="Tabela29" displayName="Tabela29" ref="J2:M8" totalsRowShown="0">
  <autoFilter ref="J2:M8" xr:uid="{30665362-E201-4B66-877D-213A89F67D76}"/>
  <tableColumns count="4">
    <tableColumn id="1" xr3:uid="{00A65309-582E-4967-8A37-B9BE4D3BFE2A}" name="Fase da Vida"/>
    <tableColumn id="2" xr3:uid="{C6954873-948E-4F44-8983-68EAC7B273A7}" name="Jovem Profissional" dataDxfId="8"/>
    <tableColumn id="3" xr3:uid="{44C42240-705C-4C38-884D-71DBCE3DB0A6}" name="Familia em Crescimento" dataDxfId="7"/>
    <tableColumn id="4" xr3:uid="{4976C372-5B06-4BB2-B5D3-D2E5C9167069}" name="Aposentadoria" dataDxfId="6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6" Type="http://schemas.openxmlformats.org/officeDocument/2006/relationships/comments" Target="../comments1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11E81-9C44-423D-AC08-50F816B36A03}">
  <dimension ref="A1"/>
  <sheetViews>
    <sheetView showGridLines="0" tabSelected="1" zoomScaleNormal="100" workbookViewId="0">
      <selection activeCell="Q9" sqref="Q9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91C22-538E-48A8-884B-89CADDCFAF13}">
  <sheetPr codeName="Planilha1"/>
  <dimension ref="A1:AL246"/>
  <sheetViews>
    <sheetView showGridLines="0" topLeftCell="R1" zoomScale="55" zoomScaleNormal="55" workbookViewId="0">
      <pane ySplit="1" topLeftCell="A2" activePane="bottomLeft" state="frozen"/>
      <selection pane="bottomLeft" activeCell="F29" sqref="F29"/>
    </sheetView>
  </sheetViews>
  <sheetFormatPr defaultRowHeight="14.4" x14ac:dyDescent="0.3"/>
  <cols>
    <col min="1" max="1" width="22.44140625" customWidth="1"/>
    <col min="2" max="2" width="26.77734375" style="1" customWidth="1"/>
    <col min="3" max="3" width="23.77734375" style="1" customWidth="1"/>
    <col min="4" max="4" width="27.6640625" style="1" customWidth="1"/>
    <col min="5" max="5" width="36.88671875" customWidth="1"/>
    <col min="6" max="6" width="41.109375" style="8" customWidth="1"/>
    <col min="7" max="8" width="22.5546875" style="8" customWidth="1"/>
    <col min="9" max="9" width="23.33203125" customWidth="1"/>
    <col min="10" max="10" width="30.44140625" style="8" customWidth="1"/>
    <col min="11" max="14" width="18.44140625" customWidth="1"/>
    <col min="15" max="15" width="33.109375" customWidth="1"/>
    <col min="16" max="16" width="35" customWidth="1"/>
    <col min="17" max="17" width="31.21875" customWidth="1"/>
    <col min="18" max="21" width="17.109375" customWidth="1"/>
    <col min="22" max="23" width="32" customWidth="1"/>
    <col min="26" max="26" width="20" customWidth="1"/>
    <col min="27" max="27" width="20.6640625" customWidth="1"/>
    <col min="28" max="28" width="18.21875" customWidth="1"/>
    <col min="29" max="29" width="14.109375" customWidth="1"/>
    <col min="30" max="30" width="32.6640625" customWidth="1"/>
    <col min="31" max="31" width="38.21875" customWidth="1"/>
    <col min="32" max="32" width="14.109375" customWidth="1"/>
    <col min="33" max="33" width="19.5546875" customWidth="1"/>
    <col min="34" max="34" width="16" customWidth="1"/>
    <col min="35" max="36" width="14.109375" customWidth="1"/>
    <col min="37" max="37" width="32.6640625" customWidth="1"/>
    <col min="38" max="38" width="38.77734375" customWidth="1"/>
  </cols>
  <sheetData>
    <row r="1" spans="1:38" ht="38.4" customHeight="1" thickBot="1" x14ac:dyDescent="0.35">
      <c r="A1" s="168" t="s">
        <v>102</v>
      </c>
      <c r="B1" s="169"/>
      <c r="C1" s="169"/>
      <c r="D1" s="170"/>
      <c r="F1" s="171" t="s">
        <v>103</v>
      </c>
      <c r="G1" s="172"/>
      <c r="H1" s="172"/>
      <c r="I1" s="173"/>
      <c r="K1" s="168" t="s">
        <v>111</v>
      </c>
      <c r="L1" s="169"/>
      <c r="M1" s="169"/>
      <c r="N1" s="169"/>
      <c r="O1" s="169"/>
      <c r="P1" s="170"/>
      <c r="R1" s="166" t="s">
        <v>109</v>
      </c>
      <c r="S1" s="167"/>
      <c r="T1" s="167"/>
      <c r="U1" s="167"/>
      <c r="V1" s="167"/>
      <c r="W1" s="167"/>
      <c r="X1" s="167"/>
      <c r="Y1" s="167"/>
      <c r="Z1" s="167"/>
      <c r="AA1" s="167"/>
      <c r="AB1" s="167"/>
      <c r="AC1" s="167"/>
      <c r="AD1" s="167"/>
      <c r="AE1" s="167"/>
      <c r="AF1" s="167"/>
      <c r="AG1" s="167"/>
      <c r="AH1" s="167"/>
      <c r="AI1" s="167"/>
      <c r="AJ1" s="167"/>
      <c r="AK1" s="167"/>
      <c r="AL1" s="167"/>
    </row>
    <row r="2" spans="1:38" ht="28.8" x14ac:dyDescent="0.55000000000000004">
      <c r="A2" s="1" t="s">
        <v>5</v>
      </c>
      <c r="B2" s="1" t="s">
        <v>0</v>
      </c>
      <c r="C2" s="1" t="s">
        <v>1</v>
      </c>
      <c r="D2" s="1" t="s">
        <v>2</v>
      </c>
      <c r="J2"/>
      <c r="K2" s="21" t="s">
        <v>67</v>
      </c>
      <c r="L2" s="22" t="s">
        <v>68</v>
      </c>
      <c r="M2" s="22" t="s">
        <v>69</v>
      </c>
      <c r="N2" s="23" t="s">
        <v>64</v>
      </c>
      <c r="O2" s="23" t="s">
        <v>65</v>
      </c>
      <c r="P2" s="75" t="s">
        <v>66</v>
      </c>
      <c r="Z2" s="25" t="s">
        <v>75</v>
      </c>
      <c r="AA2" s="26"/>
      <c r="AB2" s="26"/>
      <c r="AC2" s="26"/>
      <c r="AD2" s="26"/>
      <c r="AE2" s="27"/>
      <c r="AG2" s="25" t="s">
        <v>83</v>
      </c>
      <c r="AH2" s="26"/>
      <c r="AI2" s="26"/>
      <c r="AJ2" s="26"/>
      <c r="AK2" s="26"/>
      <c r="AL2" s="27"/>
    </row>
    <row r="3" spans="1:38" ht="19.2" customHeight="1" x14ac:dyDescent="0.3">
      <c r="A3" s="1">
        <v>1995</v>
      </c>
      <c r="B3" s="2">
        <v>0.23906607718400008</v>
      </c>
      <c r="C3" s="2">
        <v>0.37195198902606308</v>
      </c>
      <c r="D3" s="2">
        <v>0.23480780112538907</v>
      </c>
      <c r="F3" t="s">
        <v>94</v>
      </c>
      <c r="G3" s="70" t="s">
        <v>0</v>
      </c>
      <c r="H3" s="70" t="s">
        <v>1</v>
      </c>
      <c r="I3" s="70" t="s">
        <v>2</v>
      </c>
      <c r="J3"/>
      <c r="K3" s="14">
        <v>0</v>
      </c>
      <c r="L3" s="15" cm="1">
        <f t="array" ref="L3:L23">_xlfn.SEQUENCE(21,,0,5%)</f>
        <v>0</v>
      </c>
      <c r="M3" s="15">
        <f>1-K3-L3</f>
        <v>1</v>
      </c>
      <c r="N3" s="16">
        <f>SUM(K3:M3)</f>
        <v>1</v>
      </c>
      <c r="O3" s="54">
        <f t="shared" ref="O3:O66" si="0">SQRT(K3^2*$G$4^2 + L3^2*$H$4^2 + M3^2*$I$4^2 + 2*K3*L3*$G$10*$G$4*$H$4 + 2*L3*M3*$G$12*$H$4*$I$4 + 2*K3*M3*$G$11*$G$4*$I$4)</f>
        <v>9.4481261509275508E-2</v>
      </c>
      <c r="P3" s="17">
        <f t="shared" ref="P3:P66" si="1">K3*$G$7 + L3*$H$7 + M3*$I$7</f>
        <v>3.4000000000000002E-2</v>
      </c>
      <c r="Z3" s="28" t="s">
        <v>72</v>
      </c>
      <c r="AA3" s="24" t="s">
        <v>73</v>
      </c>
      <c r="AB3" s="24" t="s">
        <v>74</v>
      </c>
      <c r="AC3" s="36" t="s">
        <v>64</v>
      </c>
      <c r="AD3" s="36" t="s">
        <v>65</v>
      </c>
      <c r="AE3" s="37" t="s">
        <v>66</v>
      </c>
      <c r="AG3" s="28" t="s">
        <v>72</v>
      </c>
      <c r="AH3" s="24" t="s">
        <v>73</v>
      </c>
      <c r="AI3" s="24" t="s">
        <v>74</v>
      </c>
      <c r="AJ3" s="36" t="s">
        <v>64</v>
      </c>
      <c r="AK3" s="36" t="s">
        <v>65</v>
      </c>
      <c r="AL3" s="37" t="s">
        <v>66</v>
      </c>
    </row>
    <row r="4" spans="1:38" ht="19.2" customHeight="1" x14ac:dyDescent="0.3">
      <c r="A4" s="1">
        <v>1996</v>
      </c>
      <c r="B4" s="2">
        <v>0.30387514145128991</v>
      </c>
      <c r="C4" s="2">
        <v>0.22680966018865789</v>
      </c>
      <c r="D4" s="2">
        <v>1.428607793401844E-2</v>
      </c>
      <c r="F4" s="73" t="s">
        <v>63</v>
      </c>
      <c r="G4" s="202">
        <f>_xlfn.STDEV.S(Tabela3[Private Equity Returns])</f>
        <v>0.15294529254454711</v>
      </c>
      <c r="H4" s="202">
        <f>_xlfn.STDEV.S(Tabela3[S&amp;P500])</f>
        <v>0.18162652257977599</v>
      </c>
      <c r="I4" s="202">
        <f>_xlfn.STDEV.S(Tabela3[Treasury Bond (10 anos)])</f>
        <v>9.4481261509275508E-2</v>
      </c>
      <c r="J4"/>
      <c r="K4" s="14">
        <v>0</v>
      </c>
      <c r="L4" s="15">
        <v>0.05</v>
      </c>
      <c r="M4" s="15">
        <f t="shared" ref="M4:M22" si="2">1-K4-L4</f>
        <v>0.95</v>
      </c>
      <c r="N4" s="16">
        <f t="shared" ref="N4:N67" si="3">SUM(K4:M4)</f>
        <v>1</v>
      </c>
      <c r="O4" s="54">
        <f t="shared" si="0"/>
        <v>8.8730950572456432E-2</v>
      </c>
      <c r="P4" s="17">
        <f t="shared" si="1"/>
        <v>3.5275000000000001E-2</v>
      </c>
      <c r="Z4" s="125">
        <v>0.21207040576485356</v>
      </c>
      <c r="AA4" s="126">
        <v>9.0413347251410175E-2</v>
      </c>
      <c r="AB4" s="126">
        <v>0.69751624397592393</v>
      </c>
      <c r="AC4" s="30">
        <f>SUM(Z4:AB4)</f>
        <v>0.99999999699218767</v>
      </c>
      <c r="AD4" s="31">
        <f>SQRT(Z4^2*$G$4^2 + AA4^2*$H$4^2 + AB4^2*$I$4^2 + 2*Z4*AA4*$G$10*$G$4*$H$4 + 2*AA4*AB4*$G$12*$H$4*$I$4 + 2*Z4*AB4*$G$11*$G$4*$I$4)</f>
        <v>7.4638251839662648E-2</v>
      </c>
      <c r="AE4" s="32">
        <f>Z4*$G$7 + AA4*$H$7 + AB4*$I$7</f>
        <v>5.0726327844655382E-2</v>
      </c>
      <c r="AG4" s="29">
        <v>0.99743851450228893</v>
      </c>
      <c r="AH4" s="30">
        <v>0</v>
      </c>
      <c r="AI4" s="30">
        <v>2.5614854977110838E-3</v>
      </c>
      <c r="AJ4" s="30">
        <f>SUM(AG4:AI4)</f>
        <v>1</v>
      </c>
      <c r="AK4" s="31">
        <f>SQRT(AG4^2*$G$4^2 + AH4^2*$H$4^2 + AI4^2*$I$4^2 + 2*AG4*AH4*$G$10*$G$4*$H$4 + 2*AH4*AI4*$G$12*$H$4*$I$4 + 2*AG4*AI4*$G$11*$G$4*$I$4)</f>
        <v>0.1525219010566389</v>
      </c>
      <c r="AL4" s="32">
        <f>AG4*$G$7 + AH4*$H$7 + AI4*$I$7</f>
        <v>0.10182581898615564</v>
      </c>
    </row>
    <row r="5" spans="1:38" ht="19.2" customHeight="1" x14ac:dyDescent="0.3">
      <c r="A5" s="1">
        <v>1997</v>
      </c>
      <c r="B5" s="2">
        <v>0.28713348395918015</v>
      </c>
      <c r="C5" s="2">
        <v>0.33103653103653097</v>
      </c>
      <c r="D5" s="2">
        <v>9.939130272977531E-2</v>
      </c>
      <c r="F5" s="73" t="s">
        <v>70</v>
      </c>
      <c r="G5" s="71">
        <f>AVERAGE(Tabela3[Private Equity Returns])</f>
        <v>0.15367828375895418</v>
      </c>
      <c r="H5" s="71">
        <f>AVERAGE(Tabela3[S&amp;P500])</f>
        <v>0.12446146702302642</v>
      </c>
      <c r="I5" s="71">
        <f>AVERAGE(Tabela3[Treasury Bond (10 anos)])</f>
        <v>4.7528698610928996E-2</v>
      </c>
      <c r="J5"/>
      <c r="K5" s="14">
        <v>0</v>
      </c>
      <c r="L5" s="15">
        <v>0.1</v>
      </c>
      <c r="M5" s="15">
        <f t="shared" si="2"/>
        <v>0.9</v>
      </c>
      <c r="N5" s="16">
        <f t="shared" si="3"/>
        <v>1</v>
      </c>
      <c r="O5" s="54">
        <f t="shared" si="0"/>
        <v>8.4007091341015097E-2</v>
      </c>
      <c r="P5" s="17">
        <f t="shared" si="1"/>
        <v>3.6549999999999999E-2</v>
      </c>
      <c r="Z5" s="39"/>
      <c r="AA5" s="38"/>
      <c r="AB5" s="38"/>
      <c r="AC5" s="38"/>
      <c r="AD5" s="38"/>
      <c r="AE5" s="40"/>
      <c r="AG5" s="39"/>
      <c r="AH5" s="38"/>
      <c r="AI5" s="38"/>
      <c r="AJ5" s="38"/>
      <c r="AK5" s="38"/>
      <c r="AL5" s="40"/>
    </row>
    <row r="6" spans="1:38" ht="19.2" customHeight="1" x14ac:dyDescent="0.3">
      <c r="A6" s="1">
        <v>1998</v>
      </c>
      <c r="B6" s="2">
        <v>0.16816404344880009</v>
      </c>
      <c r="C6" s="2">
        <v>0.28337953278443584</v>
      </c>
      <c r="D6" s="2">
        <v>0.14921431922606215</v>
      </c>
      <c r="F6" s="73" t="s">
        <v>71</v>
      </c>
      <c r="G6" s="71">
        <v>0.12</v>
      </c>
      <c r="H6" s="2">
        <v>7.0000000000000007E-2</v>
      </c>
      <c r="I6" s="2">
        <v>0.04</v>
      </c>
      <c r="J6"/>
      <c r="K6" s="14">
        <v>0</v>
      </c>
      <c r="L6" s="15">
        <v>0.15000000000000002</v>
      </c>
      <c r="M6" s="15">
        <f t="shared" si="2"/>
        <v>0.85</v>
      </c>
      <c r="N6" s="16">
        <f t="shared" si="3"/>
        <v>1</v>
      </c>
      <c r="O6" s="54">
        <f t="shared" si="0"/>
        <v>8.0490609356880558E-2</v>
      </c>
      <c r="P6" s="17">
        <f t="shared" si="1"/>
        <v>3.7825000000000004E-2</v>
      </c>
      <c r="Z6" s="39"/>
      <c r="AA6" s="38"/>
      <c r="AB6" s="38"/>
      <c r="AC6" s="38"/>
      <c r="AD6" s="38"/>
      <c r="AE6" s="40"/>
      <c r="AG6" s="41" t="s">
        <v>84</v>
      </c>
      <c r="AH6" s="38"/>
      <c r="AI6" s="43">
        <v>4.2999999999999997E-2</v>
      </c>
      <c r="AJ6" s="38"/>
      <c r="AK6" s="67" t="s">
        <v>85</v>
      </c>
      <c r="AL6" s="68">
        <f>(AL4-AI6)/AK4</f>
        <v>0.3856876853659903</v>
      </c>
    </row>
    <row r="7" spans="1:38" ht="19.2" customHeight="1" thickBot="1" x14ac:dyDescent="0.35">
      <c r="A7" s="1">
        <v>1999</v>
      </c>
      <c r="B7" s="2">
        <v>0.38621119782526625</v>
      </c>
      <c r="C7" s="2">
        <v>0.20885350992084475</v>
      </c>
      <c r="D7" s="2">
        <v>-8.2542147962685761E-2</v>
      </c>
      <c r="F7" s="73" t="s">
        <v>101</v>
      </c>
      <c r="G7" s="72">
        <f>G6-(0.15*G6)</f>
        <v>0.10199999999999999</v>
      </c>
      <c r="H7" s="72">
        <f t="shared" ref="H7:I7" si="4">H6-(0.15*H6)</f>
        <v>5.9500000000000004E-2</v>
      </c>
      <c r="I7" s="72">
        <f t="shared" si="4"/>
        <v>3.4000000000000002E-2</v>
      </c>
      <c r="J7"/>
      <c r="K7" s="14">
        <v>0</v>
      </c>
      <c r="L7" s="15">
        <v>0.2</v>
      </c>
      <c r="M7" s="15">
        <f t="shared" si="2"/>
        <v>0.8</v>
      </c>
      <c r="N7" s="16">
        <f t="shared" si="3"/>
        <v>1</v>
      </c>
      <c r="O7" s="54">
        <f t="shared" si="0"/>
        <v>7.8344253054608862E-2</v>
      </c>
      <c r="P7" s="17">
        <f t="shared" si="1"/>
        <v>3.9100000000000003E-2</v>
      </c>
      <c r="Z7" s="33"/>
      <c r="AA7" s="34"/>
      <c r="AB7" s="34"/>
      <c r="AC7" s="34"/>
      <c r="AD7" s="34"/>
      <c r="AE7" s="35"/>
      <c r="AG7" s="33"/>
      <c r="AH7" s="34"/>
      <c r="AI7" s="34"/>
      <c r="AJ7" s="34"/>
      <c r="AK7" s="34"/>
      <c r="AL7" s="35"/>
    </row>
    <row r="8" spans="1:38" ht="19.2" customHeight="1" thickBot="1" x14ac:dyDescent="0.35">
      <c r="A8" s="1">
        <v>2000</v>
      </c>
      <c r="B8" s="2">
        <v>4.45293816096346E-2</v>
      </c>
      <c r="C8" s="2">
        <v>-9.0318189552492781E-2</v>
      </c>
      <c r="D8" s="2">
        <v>0.16655267125397488</v>
      </c>
      <c r="H8"/>
      <c r="J8"/>
      <c r="K8" s="14">
        <v>0</v>
      </c>
      <c r="L8" s="15">
        <v>0.25</v>
      </c>
      <c r="M8" s="15">
        <f t="shared" si="2"/>
        <v>0.75</v>
      </c>
      <c r="N8" s="16">
        <f t="shared" si="3"/>
        <v>1</v>
      </c>
      <c r="O8" s="54">
        <f t="shared" si="0"/>
        <v>7.7681675906905959E-2</v>
      </c>
      <c r="P8" s="17">
        <f t="shared" si="1"/>
        <v>4.0375000000000001E-2</v>
      </c>
    </row>
    <row r="9" spans="1:38" ht="19.2" customHeight="1" x14ac:dyDescent="0.3">
      <c r="A9" s="1">
        <v>2001</v>
      </c>
      <c r="B9" s="2">
        <v>-0.11350959748893275</v>
      </c>
      <c r="C9" s="2">
        <v>-0.11849759142000185</v>
      </c>
      <c r="D9" s="2">
        <v>5.5721811892492555E-2</v>
      </c>
      <c r="F9" s="69" t="s">
        <v>96</v>
      </c>
      <c r="G9" s="69" t="s">
        <v>95</v>
      </c>
      <c r="J9"/>
      <c r="K9" s="14">
        <v>0</v>
      </c>
      <c r="L9" s="15">
        <v>0.3</v>
      </c>
      <c r="M9" s="15">
        <f t="shared" si="2"/>
        <v>0.7</v>
      </c>
      <c r="N9" s="16">
        <f t="shared" si="3"/>
        <v>1</v>
      </c>
      <c r="O9" s="54">
        <f t="shared" si="0"/>
        <v>7.854043894520138E-2</v>
      </c>
      <c r="P9" s="17">
        <f t="shared" si="1"/>
        <v>4.1650000000000006E-2</v>
      </c>
      <c r="Z9" s="186" t="s">
        <v>88</v>
      </c>
      <c r="AA9" s="187"/>
      <c r="AB9" s="187"/>
      <c r="AC9" s="187"/>
      <c r="AD9" s="187"/>
      <c r="AE9" s="188"/>
      <c r="AG9" s="186" t="s">
        <v>135</v>
      </c>
      <c r="AH9" s="187"/>
      <c r="AI9" s="187"/>
      <c r="AJ9" s="187"/>
      <c r="AK9" s="187"/>
      <c r="AL9" s="188"/>
    </row>
    <row r="10" spans="1:38" ht="19.2" customHeight="1" x14ac:dyDescent="0.3">
      <c r="A10" s="1">
        <v>2002</v>
      </c>
      <c r="B10" s="2">
        <v>-3.9531946832649933E-2</v>
      </c>
      <c r="C10" s="2">
        <v>-0.21966047957912699</v>
      </c>
      <c r="D10" s="2">
        <v>0.15116400378109285</v>
      </c>
      <c r="F10" s="74" t="s">
        <v>97</v>
      </c>
      <c r="G10" s="1">
        <f>CORREL(Tabela3[Private Equity Returns],Tabela3[S&amp;P500])</f>
        <v>0.77043885959666236</v>
      </c>
      <c r="J10"/>
      <c r="K10" s="14">
        <v>0</v>
      </c>
      <c r="L10" s="15">
        <v>0.35</v>
      </c>
      <c r="M10" s="15">
        <f t="shared" si="2"/>
        <v>0.65</v>
      </c>
      <c r="N10" s="16">
        <f t="shared" si="3"/>
        <v>1</v>
      </c>
      <c r="O10" s="54">
        <f t="shared" si="0"/>
        <v>8.0872092347623742E-2</v>
      </c>
      <c r="P10" s="17">
        <f t="shared" si="1"/>
        <v>4.2925000000000005E-2</v>
      </c>
      <c r="Z10" s="189"/>
      <c r="AA10" s="190"/>
      <c r="AB10" s="190"/>
      <c r="AC10" s="190"/>
      <c r="AD10" s="190"/>
      <c r="AE10" s="191"/>
      <c r="AG10" s="189"/>
      <c r="AH10" s="190"/>
      <c r="AI10" s="190"/>
      <c r="AJ10" s="190"/>
      <c r="AK10" s="190"/>
      <c r="AL10" s="191"/>
    </row>
    <row r="11" spans="1:38" ht="19.2" customHeight="1" x14ac:dyDescent="0.3">
      <c r="A11" s="1">
        <v>2003</v>
      </c>
      <c r="B11" s="2">
        <v>0.24162202986531911</v>
      </c>
      <c r="C11" s="2">
        <v>0.28355800050010233</v>
      </c>
      <c r="D11" s="2">
        <v>3.7531858817758529E-3</v>
      </c>
      <c r="F11" s="74" t="s">
        <v>98</v>
      </c>
      <c r="G11" s="1">
        <f>CORREL(Tabela3[Private Equity Returns],Tabela3[Treasury Bond (10 anos)])</f>
        <v>-0.13145206242334259</v>
      </c>
      <c r="J11"/>
      <c r="K11" s="14">
        <v>0</v>
      </c>
      <c r="L11" s="15">
        <v>0.39999999999999997</v>
      </c>
      <c r="M11" s="15">
        <f t="shared" si="2"/>
        <v>0.60000000000000009</v>
      </c>
      <c r="N11" s="16">
        <f t="shared" si="3"/>
        <v>1</v>
      </c>
      <c r="O11" s="54">
        <f t="shared" si="0"/>
        <v>8.4554876173042831E-2</v>
      </c>
      <c r="P11" s="17">
        <f t="shared" si="1"/>
        <v>4.4200000000000003E-2</v>
      </c>
      <c r="Z11" s="44" t="s">
        <v>72</v>
      </c>
      <c r="AA11" s="76" t="s">
        <v>73</v>
      </c>
      <c r="AB11" s="76" t="s">
        <v>74</v>
      </c>
      <c r="AC11" s="77" t="s">
        <v>64</v>
      </c>
      <c r="AD11" s="77" t="s">
        <v>65</v>
      </c>
      <c r="AE11" s="45" t="s">
        <v>66</v>
      </c>
      <c r="AG11" s="44" t="s">
        <v>72</v>
      </c>
      <c r="AH11" s="76" t="s">
        <v>73</v>
      </c>
      <c r="AI11" s="76" t="s">
        <v>74</v>
      </c>
      <c r="AJ11" s="77" t="s">
        <v>64</v>
      </c>
      <c r="AK11" s="77" t="s">
        <v>65</v>
      </c>
      <c r="AL11" s="45" t="s">
        <v>66</v>
      </c>
    </row>
    <row r="12" spans="1:38" ht="19.2" customHeight="1" x14ac:dyDescent="0.3">
      <c r="A12" s="1">
        <v>2004</v>
      </c>
      <c r="B12" s="2">
        <v>0.28527889044139987</v>
      </c>
      <c r="C12" s="2">
        <v>0.10742775944096193</v>
      </c>
      <c r="D12" s="2">
        <v>4.490683702274547E-2</v>
      </c>
      <c r="F12" s="74" t="s">
        <v>99</v>
      </c>
      <c r="G12" s="1">
        <f>CORREL(Tabela3[S&amp;P500],Tabela3[Treasury Bond (10 anos)])</f>
        <v>-0.16294864147788968</v>
      </c>
      <c r="H12"/>
      <c r="J12"/>
      <c r="K12" s="14">
        <v>0</v>
      </c>
      <c r="L12" s="15">
        <v>0.44999999999999996</v>
      </c>
      <c r="M12" s="15">
        <f t="shared" si="2"/>
        <v>0.55000000000000004</v>
      </c>
      <c r="N12" s="16">
        <f t="shared" si="3"/>
        <v>1</v>
      </c>
      <c r="O12" s="54">
        <f t="shared" si="0"/>
        <v>8.942200982740757E-2</v>
      </c>
      <c r="P12" s="17">
        <f t="shared" si="1"/>
        <v>4.5475000000000002E-2</v>
      </c>
      <c r="Z12" s="123">
        <v>0.1058019110157481</v>
      </c>
      <c r="AA12" s="124">
        <v>0.20000000000000004</v>
      </c>
      <c r="AB12" s="124">
        <v>0.6941980833889102</v>
      </c>
      <c r="AC12" s="78">
        <f>SUM(Z12:AB12)</f>
        <v>0.99999999440465837</v>
      </c>
      <c r="AD12" s="46">
        <f>SQRT(Z12^2*$G$4^2 + AA12^2*$H$4^2 + AB12^2*$I$4^2 + 2*Z12*AA12*$G$10*$G$4*$H$4 + 2*AA12*AB12*$G$12*$H$4*$I$4 + 2*Z12*AB12*$G$11*$G$4*$I$4)</f>
        <v>7.5719975591006322E-2</v>
      </c>
      <c r="AE12" s="47">
        <f>Z12*$G$7 + AA12*$H$7 + AB12*$I$7</f>
        <v>4.6294529758829257E-2</v>
      </c>
      <c r="AG12" s="117">
        <f>(AG4-Z12)*$AJ$14 + Z12</f>
        <v>0.46245655241036443</v>
      </c>
      <c r="AH12" s="118">
        <f>(AH4-AA12)*$AJ$14 + AA12</f>
        <v>0.12000000000000002</v>
      </c>
      <c r="AI12" s="118">
        <f>(AI4-AB12)*$AJ$14 + AB12</f>
        <v>0.41754344423243056</v>
      </c>
      <c r="AJ12" s="78">
        <f>SUM(AG12:AI12)</f>
        <v>0.99999999664279504</v>
      </c>
      <c r="AK12" s="46">
        <f>SQRT(AG12^2*$G$4^2 + AH12^2*$H$4^2 + AI12^2*$I$4^2 + 2*AG12*AH12*$G$10*$G$4*$H$4 + 2*AH12*AI12*$G$12*$H$4*$I$4 + 2*AG12*AI12*$G$11*$G$4*$I$4)</f>
        <v>9.1628270783809918E-2</v>
      </c>
      <c r="AL12" s="47">
        <f>AG12*$G$7 + AH12*$H$7 + AI12*$I$7</f>
        <v>6.8507045449759801E-2</v>
      </c>
    </row>
    <row r="13" spans="1:38" ht="19.2" customHeight="1" x14ac:dyDescent="0.3">
      <c r="A13" s="1">
        <v>2005</v>
      </c>
      <c r="B13" s="2">
        <v>0.26575342644446098</v>
      </c>
      <c r="C13" s="2">
        <v>4.8344775232688535E-2</v>
      </c>
      <c r="D13" s="2">
        <v>2.8675329597779506E-2</v>
      </c>
      <c r="F13"/>
      <c r="G13"/>
      <c r="H13"/>
      <c r="J13"/>
      <c r="K13" s="14">
        <v>0</v>
      </c>
      <c r="L13" s="15">
        <v>0.49999999999999994</v>
      </c>
      <c r="M13" s="15">
        <f t="shared" si="2"/>
        <v>0.5</v>
      </c>
      <c r="N13" s="16">
        <f t="shared" si="3"/>
        <v>1</v>
      </c>
      <c r="O13" s="54">
        <f t="shared" si="0"/>
        <v>9.5292190611223168E-2</v>
      </c>
      <c r="P13" s="17">
        <f t="shared" si="1"/>
        <v>4.675E-2</v>
      </c>
      <c r="Z13" s="50" t="s">
        <v>76</v>
      </c>
      <c r="AA13" s="79"/>
      <c r="AB13" s="80">
        <v>0.02</v>
      </c>
      <c r="AC13" s="79"/>
      <c r="AD13" s="79"/>
      <c r="AE13" s="49"/>
      <c r="AG13" s="48"/>
      <c r="AH13" s="79"/>
      <c r="AI13" s="79"/>
      <c r="AJ13" s="79"/>
      <c r="AK13" s="79"/>
      <c r="AL13" s="49"/>
    </row>
    <row r="14" spans="1:38" ht="19.2" customHeight="1" thickBot="1" x14ac:dyDescent="0.35">
      <c r="A14" s="1">
        <v>2006</v>
      </c>
      <c r="B14" s="2">
        <v>0.37906170734080002</v>
      </c>
      <c r="C14" s="2">
        <v>0.15612557979315703</v>
      </c>
      <c r="D14" s="2">
        <v>1.9610012417568386E-2</v>
      </c>
      <c r="K14" s="14">
        <v>0</v>
      </c>
      <c r="L14" s="15">
        <v>0.54999999999999993</v>
      </c>
      <c r="M14" s="15">
        <f t="shared" si="2"/>
        <v>0.45000000000000007</v>
      </c>
      <c r="N14" s="16">
        <f t="shared" si="3"/>
        <v>1</v>
      </c>
      <c r="O14" s="54">
        <f t="shared" si="0"/>
        <v>0.10199237390303627</v>
      </c>
      <c r="P14" s="17">
        <f t="shared" si="1"/>
        <v>4.8024999999999998E-2</v>
      </c>
      <c r="Z14" s="50" t="s">
        <v>77</v>
      </c>
      <c r="AA14" s="79"/>
      <c r="AB14" s="80">
        <v>0.02</v>
      </c>
      <c r="AC14" s="79"/>
      <c r="AD14" s="81" t="s">
        <v>80</v>
      </c>
      <c r="AE14" s="56">
        <f>AE12-AB13</f>
        <v>2.6294529758829257E-2</v>
      </c>
      <c r="AG14" s="50" t="s">
        <v>86</v>
      </c>
      <c r="AH14" s="79"/>
      <c r="AI14" s="80"/>
      <c r="AJ14" s="82">
        <v>0.4</v>
      </c>
      <c r="AK14" s="79"/>
      <c r="AL14" s="49"/>
    </row>
    <row r="15" spans="1:38" ht="19.2" customHeight="1" x14ac:dyDescent="0.3">
      <c r="A15" s="1">
        <v>2007</v>
      </c>
      <c r="B15" s="2">
        <v>0.25253221070384013</v>
      </c>
      <c r="C15" s="2">
        <v>5.4847352464217694E-2</v>
      </c>
      <c r="D15" s="2">
        <v>0.10209921930012807</v>
      </c>
      <c r="F15" s="180" t="s">
        <v>100</v>
      </c>
      <c r="G15" s="181"/>
      <c r="H15" s="181"/>
      <c r="I15" s="182"/>
      <c r="K15" s="14">
        <v>0</v>
      </c>
      <c r="L15" s="15">
        <v>0.6</v>
      </c>
      <c r="M15" s="15">
        <f t="shared" si="2"/>
        <v>0.4</v>
      </c>
      <c r="N15" s="16">
        <f t="shared" si="3"/>
        <v>1</v>
      </c>
      <c r="O15" s="54">
        <f t="shared" si="0"/>
        <v>0.10937012421244735</v>
      </c>
      <c r="P15" s="17">
        <f t="shared" si="1"/>
        <v>4.9300000000000004E-2</v>
      </c>
      <c r="Z15" s="50" t="s">
        <v>79</v>
      </c>
      <c r="AA15" s="79"/>
      <c r="AB15" s="82">
        <f>60</f>
        <v>60</v>
      </c>
      <c r="AC15" s="79"/>
      <c r="AD15" s="79"/>
      <c r="AE15" s="49"/>
      <c r="AG15" s="48" t="s">
        <v>82</v>
      </c>
      <c r="AH15" s="79"/>
      <c r="AI15" s="80"/>
      <c r="AJ15" s="79"/>
      <c r="AK15" s="81"/>
      <c r="AL15" s="56"/>
    </row>
    <row r="16" spans="1:38" ht="19.2" customHeight="1" x14ac:dyDescent="0.3">
      <c r="A16" s="1">
        <v>2008</v>
      </c>
      <c r="B16" s="2">
        <v>-0.28966922859519983</v>
      </c>
      <c r="C16" s="2">
        <v>-0.36552344111798191</v>
      </c>
      <c r="D16" s="2">
        <v>0.20101279926977011</v>
      </c>
      <c r="F16" s="183"/>
      <c r="G16" s="184"/>
      <c r="H16" s="184"/>
      <c r="I16" s="185"/>
      <c r="K16" s="14">
        <v>0</v>
      </c>
      <c r="L16" s="15">
        <v>0.65</v>
      </c>
      <c r="M16" s="15">
        <f t="shared" si="2"/>
        <v>0.35</v>
      </c>
      <c r="N16" s="16">
        <f t="shared" si="3"/>
        <v>1</v>
      </c>
      <c r="O16" s="54">
        <f t="shared" si="0"/>
        <v>0.11729765896680937</v>
      </c>
      <c r="P16" s="17">
        <f t="shared" si="1"/>
        <v>5.0575000000000002E-2</v>
      </c>
      <c r="Z16" s="50" t="s">
        <v>134</v>
      </c>
      <c r="AA16" s="79"/>
      <c r="AB16" s="80">
        <v>0.2</v>
      </c>
      <c r="AC16" s="79"/>
      <c r="AD16" s="79"/>
      <c r="AE16" s="49"/>
      <c r="AG16" s="48" t="s">
        <v>104</v>
      </c>
      <c r="AH16" s="79"/>
      <c r="AI16" s="82"/>
      <c r="AJ16" s="79"/>
      <c r="AK16" s="79"/>
      <c r="AL16" s="49"/>
    </row>
    <row r="17" spans="1:38" ht="19.2" customHeight="1" x14ac:dyDescent="0.3">
      <c r="A17" s="1">
        <v>2009</v>
      </c>
      <c r="B17" s="2">
        <v>0.17127187881030803</v>
      </c>
      <c r="C17" s="2">
        <v>0.25935233877663982</v>
      </c>
      <c r="D17" s="2">
        <v>-0.11116695313259162</v>
      </c>
      <c r="F17" s="174"/>
      <c r="G17" s="175"/>
      <c r="H17" s="175"/>
      <c r="I17" s="176"/>
      <c r="K17" s="14">
        <v>0</v>
      </c>
      <c r="L17" s="15">
        <v>0.70000000000000007</v>
      </c>
      <c r="M17" s="15">
        <f t="shared" si="2"/>
        <v>0.29999999999999993</v>
      </c>
      <c r="N17" s="16">
        <f t="shared" si="3"/>
        <v>1</v>
      </c>
      <c r="O17" s="54">
        <f t="shared" si="0"/>
        <v>0.12567097724184378</v>
      </c>
      <c r="P17" s="17">
        <f t="shared" si="1"/>
        <v>5.1850000000000007E-2</v>
      </c>
      <c r="Z17" s="50" t="s">
        <v>78</v>
      </c>
      <c r="AA17" s="79"/>
      <c r="AB17" s="83">
        <f>AB14 +(1.01)^(1/(AB15)) - 1</f>
        <v>2.0165852599574707E-2</v>
      </c>
      <c r="AC17" s="79"/>
      <c r="AD17" s="79"/>
      <c r="AE17" s="49"/>
      <c r="AG17" s="48"/>
      <c r="AH17" s="79"/>
      <c r="AI17" s="79"/>
      <c r="AJ17" s="79"/>
      <c r="AK17" s="79"/>
      <c r="AL17" s="49"/>
    </row>
    <row r="18" spans="1:38" ht="19.2" customHeight="1" thickBot="1" x14ac:dyDescent="0.35">
      <c r="A18" s="1">
        <v>2010</v>
      </c>
      <c r="B18" s="2">
        <v>0.20782132131128161</v>
      </c>
      <c r="C18" s="2">
        <v>0.14821092278719414</v>
      </c>
      <c r="D18" s="2">
        <v>8.4629338803557719E-2</v>
      </c>
      <c r="F18" s="174"/>
      <c r="G18" s="175"/>
      <c r="H18" s="175"/>
      <c r="I18" s="176"/>
      <c r="K18" s="14">
        <v>0</v>
      </c>
      <c r="L18" s="15">
        <v>0.75000000000000011</v>
      </c>
      <c r="M18" s="15">
        <f t="shared" si="2"/>
        <v>0.24999999999999989</v>
      </c>
      <c r="N18" s="16">
        <f t="shared" si="3"/>
        <v>1</v>
      </c>
      <c r="O18" s="54">
        <f t="shared" si="0"/>
        <v>0.13440679013994963</v>
      </c>
      <c r="P18" s="17">
        <f t="shared" si="1"/>
        <v>5.3125000000000006E-2</v>
      </c>
      <c r="Z18" s="51"/>
      <c r="AA18" s="52"/>
      <c r="AB18" s="52"/>
      <c r="AC18" s="52"/>
      <c r="AD18" s="52"/>
      <c r="AE18" s="53"/>
      <c r="AG18" s="84"/>
      <c r="AH18" s="52"/>
      <c r="AI18" s="85"/>
      <c r="AJ18" s="52"/>
      <c r="AK18" s="52"/>
      <c r="AL18" s="53"/>
    </row>
    <row r="19" spans="1:38" ht="19.2" customHeight="1" thickBot="1" x14ac:dyDescent="0.35">
      <c r="A19" s="1">
        <v>2011</v>
      </c>
      <c r="B19" s="2">
        <v>6.9234969452141915E-2</v>
      </c>
      <c r="C19" s="2">
        <v>2.09837473362805E-2</v>
      </c>
      <c r="D19" s="2">
        <v>0.16035334999461354</v>
      </c>
      <c r="F19" s="174"/>
      <c r="G19" s="175"/>
      <c r="H19" s="175"/>
      <c r="I19" s="176"/>
      <c r="K19" s="14">
        <v>0</v>
      </c>
      <c r="L19" s="15">
        <v>0.80000000000000016</v>
      </c>
      <c r="M19" s="15">
        <f t="shared" si="2"/>
        <v>0.19999999999999984</v>
      </c>
      <c r="N19" s="16">
        <f t="shared" si="3"/>
        <v>1</v>
      </c>
      <c r="O19" s="54">
        <f t="shared" si="0"/>
        <v>0.14343888225828888</v>
      </c>
      <c r="P19" s="17">
        <f t="shared" si="1"/>
        <v>5.4400000000000004E-2</v>
      </c>
    </row>
    <row r="20" spans="1:38" ht="19.2" customHeight="1" x14ac:dyDescent="0.3">
      <c r="A20" s="1">
        <v>2012</v>
      </c>
      <c r="B20" s="2">
        <v>0.14355029237825589</v>
      </c>
      <c r="C20" s="2">
        <v>0.15890585241730293</v>
      </c>
      <c r="D20" s="2">
        <v>2.971571978018946E-2</v>
      </c>
      <c r="F20" s="174"/>
      <c r="G20" s="175"/>
      <c r="H20" s="175"/>
      <c r="I20" s="176"/>
      <c r="K20" s="14">
        <v>0</v>
      </c>
      <c r="L20" s="15">
        <v>0.8500000000000002</v>
      </c>
      <c r="M20" s="15">
        <f t="shared" si="2"/>
        <v>0.1499999999999998</v>
      </c>
      <c r="N20" s="16">
        <f t="shared" si="3"/>
        <v>1</v>
      </c>
      <c r="O20" s="54">
        <f t="shared" si="0"/>
        <v>0.15271469360958165</v>
      </c>
      <c r="P20" s="17">
        <f t="shared" si="1"/>
        <v>5.5675000000000009E-2</v>
      </c>
      <c r="Z20" s="192" t="s">
        <v>89</v>
      </c>
      <c r="AA20" s="193"/>
      <c r="AB20" s="193"/>
      <c r="AC20" s="193"/>
      <c r="AD20" s="193"/>
      <c r="AE20" s="194"/>
      <c r="AG20" s="192" t="s">
        <v>108</v>
      </c>
      <c r="AH20" s="193"/>
      <c r="AI20" s="193"/>
      <c r="AJ20" s="193"/>
      <c r="AK20" s="193"/>
      <c r="AL20" s="194"/>
    </row>
    <row r="21" spans="1:38" ht="19.2" customHeight="1" thickBot="1" x14ac:dyDescent="0.35">
      <c r="A21" s="1">
        <v>2013</v>
      </c>
      <c r="B21" s="2">
        <v>0.20681101121665724</v>
      </c>
      <c r="C21" s="2">
        <v>0.32145085858125483</v>
      </c>
      <c r="D21" s="2">
        <v>-9.104568794347262E-2</v>
      </c>
      <c r="F21" s="177"/>
      <c r="G21" s="178"/>
      <c r="H21" s="178"/>
      <c r="I21" s="179"/>
      <c r="K21" s="14">
        <v>0</v>
      </c>
      <c r="L21" s="15">
        <v>0.90000000000000024</v>
      </c>
      <c r="M21" s="15">
        <f t="shared" si="2"/>
        <v>9.9999999999999756E-2</v>
      </c>
      <c r="N21" s="16">
        <f t="shared" si="3"/>
        <v>1</v>
      </c>
      <c r="O21" s="54">
        <f t="shared" si="0"/>
        <v>0.16219241455138364</v>
      </c>
      <c r="P21" s="17">
        <f t="shared" si="1"/>
        <v>5.6950000000000014E-2</v>
      </c>
      <c r="Z21" s="195"/>
      <c r="AA21" s="196"/>
      <c r="AB21" s="196"/>
      <c r="AC21" s="196"/>
      <c r="AD21" s="196"/>
      <c r="AE21" s="197"/>
      <c r="AG21" s="195"/>
      <c r="AH21" s="196"/>
      <c r="AI21" s="196"/>
      <c r="AJ21" s="196"/>
      <c r="AK21" s="196"/>
      <c r="AL21" s="197"/>
    </row>
    <row r="22" spans="1:38" ht="19.2" customHeight="1" x14ac:dyDescent="0.3">
      <c r="A22" s="1">
        <v>2014</v>
      </c>
      <c r="B22" s="2">
        <v>0.10044195308845283</v>
      </c>
      <c r="C22" s="2">
        <v>0.13524421649462237</v>
      </c>
      <c r="D22" s="2">
        <v>0.10746180452004755</v>
      </c>
      <c r="K22" s="14">
        <v>0</v>
      </c>
      <c r="L22" s="15">
        <v>0.95000000000000029</v>
      </c>
      <c r="M22" s="15">
        <f t="shared" si="2"/>
        <v>4.9999999999999711E-2</v>
      </c>
      <c r="N22" s="16">
        <f t="shared" si="3"/>
        <v>1</v>
      </c>
      <c r="O22" s="54">
        <f t="shared" si="0"/>
        <v>0.17183863949858807</v>
      </c>
      <c r="P22" s="17">
        <f t="shared" si="1"/>
        <v>5.8225000000000013E-2</v>
      </c>
      <c r="Z22" s="57" t="s">
        <v>72</v>
      </c>
      <c r="AA22" s="86" t="s">
        <v>73</v>
      </c>
      <c r="AB22" s="86" t="s">
        <v>74</v>
      </c>
      <c r="AC22" s="87" t="s">
        <v>64</v>
      </c>
      <c r="AD22" s="87" t="s">
        <v>65</v>
      </c>
      <c r="AE22" s="58" t="s">
        <v>66</v>
      </c>
      <c r="AG22" s="96" t="s">
        <v>105</v>
      </c>
      <c r="AH22" s="87" t="s">
        <v>106</v>
      </c>
      <c r="AI22" s="87" t="s">
        <v>107</v>
      </c>
      <c r="AJ22" s="87" t="s">
        <v>64</v>
      </c>
      <c r="AK22" s="87" t="s">
        <v>65</v>
      </c>
      <c r="AL22" s="58" t="s">
        <v>66</v>
      </c>
    </row>
    <row r="23" spans="1:38" ht="19.2" customHeight="1" x14ac:dyDescent="0.3">
      <c r="A23" s="1">
        <v>2015</v>
      </c>
      <c r="B23" s="2">
        <v>8.5955737676761679E-2</v>
      </c>
      <c r="C23" s="2">
        <v>1.3788916411676138E-2</v>
      </c>
      <c r="D23" s="2">
        <v>1.2842996709792224E-2</v>
      </c>
      <c r="K23" s="14">
        <v>0</v>
      </c>
      <c r="L23" s="15">
        <v>1.0000000000000002</v>
      </c>
      <c r="M23" s="15">
        <f t="shared" ref="M23:M38" si="5">1-K23-L23</f>
        <v>0</v>
      </c>
      <c r="N23" s="16">
        <f t="shared" si="3"/>
        <v>1.0000000000000002</v>
      </c>
      <c r="O23" s="54">
        <f t="shared" si="0"/>
        <v>0.18162652257977602</v>
      </c>
      <c r="P23" s="17">
        <f t="shared" si="1"/>
        <v>5.9500000000000018E-2</v>
      </c>
      <c r="Z23" s="121">
        <v>0.32902980027035239</v>
      </c>
      <c r="AA23" s="122">
        <v>0.15</v>
      </c>
      <c r="AB23" s="122">
        <v>0.52097019978288062</v>
      </c>
      <c r="AC23" s="88">
        <f>SUM(Z23:AB23)</f>
        <v>1.000000000053233</v>
      </c>
      <c r="AD23" s="59">
        <f>SQRT(Z23^2*$G$4^2 + AA23^2*$H$4^2 + AB23^2*$I$4^2 + 2*Z23*AA23*$G$10*$G$4*$H$4 + 2*AA23*AB23*$G$12*$H$4*$I$4 + 2*Z23*AB23*$G$11*$G$4*$I$4)</f>
        <v>8.1986641821550674E-2</v>
      </c>
      <c r="AE23" s="60">
        <f>Z23*$G$7 + AA23*$H$7 + AB23*$I$7</f>
        <v>6.0199026420193889E-2</v>
      </c>
      <c r="AG23" s="119">
        <f>(AG4-Z23)*$AJ$25 + Z23</f>
        <v>0.3624502359819492</v>
      </c>
      <c r="AH23" s="120">
        <f>(AH4-AA23)*$AJ$25 + AA23</f>
        <v>0.14249999999999999</v>
      </c>
      <c r="AI23" s="120">
        <f>(AI4-AB23)*$AJ$25 + AB23</f>
        <v>0.49504976406862211</v>
      </c>
      <c r="AJ23" s="88">
        <f>SUM(AG23:AI23)</f>
        <v>1.0000000000505713</v>
      </c>
      <c r="AK23" s="94">
        <f>SQRT(AG23^2*$G$4^2 + AH23^2*$H$4^2 + AI23^2*$I$4^2 + 2*AG23*AH23*$G$10*$G$4*$H$4 + 2*AH23*AI23*$G$12*$H$4*$I$4 + 2*AG23*AI23*$G$11*$G$4*$I$4)</f>
        <v>8.4054811554923906E-2</v>
      </c>
      <c r="AL23" s="95">
        <f>AG23*$G$7 + AH23*$H$7 + AI23*$I$7</f>
        <v>6.2280366048491971E-2</v>
      </c>
    </row>
    <row r="24" spans="1:38" ht="19.2" customHeight="1" x14ac:dyDescent="0.3">
      <c r="A24" s="1">
        <v>2016</v>
      </c>
      <c r="B24" s="2">
        <v>0.11346904183676476</v>
      </c>
      <c r="C24" s="2">
        <v>0.11773080874798171</v>
      </c>
      <c r="D24" s="2">
        <v>6.9055046987477921E-3</v>
      </c>
      <c r="F24" s="206" t="s">
        <v>131</v>
      </c>
      <c r="G24" s="205" t="s">
        <v>132</v>
      </c>
      <c r="H24" s="205" t="s">
        <v>1</v>
      </c>
      <c r="I24" s="205" t="s">
        <v>133</v>
      </c>
      <c r="K24" s="14">
        <v>0.05</v>
      </c>
      <c r="L24" s="15" cm="1">
        <f t="array" ref="L24:L43">_xlfn.SEQUENCE(20,,0,5%)</f>
        <v>0</v>
      </c>
      <c r="M24" s="15">
        <f t="shared" si="5"/>
        <v>0.95</v>
      </c>
      <c r="N24" s="16">
        <f t="shared" si="3"/>
        <v>1</v>
      </c>
      <c r="O24" s="54">
        <f t="shared" si="0"/>
        <v>8.9075129590701158E-2</v>
      </c>
      <c r="P24" s="17">
        <f t="shared" si="1"/>
        <v>3.7400000000000003E-2</v>
      </c>
      <c r="Z24" s="62" t="s">
        <v>76</v>
      </c>
      <c r="AA24" s="89"/>
      <c r="AB24" s="90">
        <v>0.04</v>
      </c>
      <c r="AC24" s="89"/>
      <c r="AD24" s="89"/>
      <c r="AE24" s="61"/>
      <c r="AG24" s="62"/>
      <c r="AH24" s="91"/>
      <c r="AI24" s="91"/>
      <c r="AJ24" s="91"/>
      <c r="AK24" s="91"/>
      <c r="AL24" s="97"/>
    </row>
    <row r="25" spans="1:38" ht="19.2" customHeight="1" x14ac:dyDescent="0.3">
      <c r="A25" s="1">
        <v>2017</v>
      </c>
      <c r="B25" s="2">
        <v>0.22423202383446283</v>
      </c>
      <c r="C25" s="2">
        <v>0.2160548143449928</v>
      </c>
      <c r="D25" s="2">
        <v>2.8017162707789457E-2</v>
      </c>
      <c r="F25" s="205" t="s">
        <v>132</v>
      </c>
      <c r="G25" s="203">
        <f>G4</f>
        <v>0.15294529254454711</v>
      </c>
      <c r="H25" s="203">
        <f>G10</f>
        <v>0.77043885959666236</v>
      </c>
      <c r="I25" s="204">
        <f>G11</f>
        <v>-0.13145206242334259</v>
      </c>
      <c r="K25" s="14">
        <v>0.05</v>
      </c>
      <c r="L25" s="15">
        <v>0.05</v>
      </c>
      <c r="M25" s="15">
        <f t="shared" si="5"/>
        <v>0.89999999999999991</v>
      </c>
      <c r="N25" s="16">
        <f t="shared" si="3"/>
        <v>0.99999999999999989</v>
      </c>
      <c r="O25" s="54">
        <f t="shared" si="0"/>
        <v>8.3999844219983813E-2</v>
      </c>
      <c r="P25" s="17">
        <f t="shared" si="1"/>
        <v>3.8675000000000001E-2</v>
      </c>
      <c r="Z25" s="62" t="s">
        <v>77</v>
      </c>
      <c r="AA25" s="89"/>
      <c r="AB25" s="90">
        <v>0.02</v>
      </c>
      <c r="AC25" s="89"/>
      <c r="AD25" s="91" t="s">
        <v>80</v>
      </c>
      <c r="AE25" s="63">
        <f>AE23-AB24</f>
        <v>2.0199026420193888E-2</v>
      </c>
      <c r="AG25" s="62" t="s">
        <v>86</v>
      </c>
      <c r="AH25" s="91"/>
      <c r="AI25" s="102"/>
      <c r="AJ25" s="92">
        <v>0.05</v>
      </c>
      <c r="AK25" s="91"/>
      <c r="AL25" s="97"/>
    </row>
    <row r="26" spans="1:38" ht="19.2" customHeight="1" x14ac:dyDescent="0.3">
      <c r="A26" s="1">
        <v>2018</v>
      </c>
      <c r="B26" s="2">
        <v>9.3120836856569911E-2</v>
      </c>
      <c r="C26" s="2">
        <v>-4.2268692890885438E-2</v>
      </c>
      <c r="D26" s="2">
        <v>-1.6692385713402633E-4</v>
      </c>
      <c r="F26" s="205" t="s">
        <v>1</v>
      </c>
      <c r="G26" s="203">
        <f>G10</f>
        <v>0.77043885959666236</v>
      </c>
      <c r="H26" s="203">
        <f>H4</f>
        <v>0.18162652257977599</v>
      </c>
      <c r="I26" s="204">
        <f>G12</f>
        <v>-0.16294864147788968</v>
      </c>
      <c r="K26" s="14">
        <v>0.05</v>
      </c>
      <c r="L26" s="15">
        <v>0.1</v>
      </c>
      <c r="M26" s="15">
        <f t="shared" si="5"/>
        <v>0.85</v>
      </c>
      <c r="N26" s="16">
        <f t="shared" si="3"/>
        <v>1</v>
      </c>
      <c r="O26" s="54">
        <f t="shared" si="0"/>
        <v>8.0094356476228937E-2</v>
      </c>
      <c r="P26" s="17">
        <f t="shared" si="1"/>
        <v>3.9949999999999999E-2</v>
      </c>
      <c r="Z26" s="62" t="s">
        <v>79</v>
      </c>
      <c r="AA26" s="89"/>
      <c r="AB26" s="92">
        <f>50</f>
        <v>50</v>
      </c>
      <c r="AC26" s="89"/>
      <c r="AD26" s="89"/>
      <c r="AE26" s="61"/>
      <c r="AG26" s="62" t="s">
        <v>82</v>
      </c>
      <c r="AH26" s="91"/>
      <c r="AI26" s="102"/>
      <c r="AJ26" s="91"/>
      <c r="AK26" s="91"/>
      <c r="AL26" s="98"/>
    </row>
    <row r="27" spans="1:38" ht="19.2" customHeight="1" x14ac:dyDescent="0.3">
      <c r="A27" s="1">
        <v>2019</v>
      </c>
      <c r="B27" s="2">
        <v>0.17272262894975987</v>
      </c>
      <c r="C27" s="2">
        <v>0.31211679996808755</v>
      </c>
      <c r="D27" s="2">
        <v>9.6356307415483927E-2</v>
      </c>
      <c r="F27" s="205" t="s">
        <v>133</v>
      </c>
      <c r="G27" s="203">
        <f>G11</f>
        <v>-0.13145206242334259</v>
      </c>
      <c r="H27" s="203">
        <f>G12</f>
        <v>-0.16294864147788968</v>
      </c>
      <c r="I27" s="204">
        <f>I4</f>
        <v>9.4481261509275508E-2</v>
      </c>
      <c r="K27" s="14">
        <v>0.05</v>
      </c>
      <c r="L27" s="15">
        <v>0.15000000000000002</v>
      </c>
      <c r="M27" s="15">
        <f t="shared" si="5"/>
        <v>0.79999999999999993</v>
      </c>
      <c r="N27" s="16">
        <f t="shared" si="3"/>
        <v>1</v>
      </c>
      <c r="O27" s="54">
        <f t="shared" si="0"/>
        <v>7.7535637243007632E-2</v>
      </c>
      <c r="P27" s="17">
        <f t="shared" si="1"/>
        <v>4.1224999999999998E-2</v>
      </c>
      <c r="R27" s="165" t="s">
        <v>110</v>
      </c>
      <c r="S27" s="165"/>
      <c r="T27" s="165"/>
      <c r="U27" s="165"/>
      <c r="V27" s="165"/>
      <c r="W27" s="165"/>
      <c r="Z27" s="62" t="s">
        <v>134</v>
      </c>
      <c r="AA27" s="89"/>
      <c r="AB27" s="128">
        <v>0.15</v>
      </c>
      <c r="AC27" s="89"/>
      <c r="AD27" s="89"/>
      <c r="AE27" s="61"/>
      <c r="AG27" s="62" t="s">
        <v>87</v>
      </c>
      <c r="AH27" s="91"/>
      <c r="AI27" s="103"/>
      <c r="AJ27" s="91"/>
      <c r="AK27" s="91"/>
      <c r="AL27" s="97"/>
    </row>
    <row r="28" spans="1:38" ht="19.2" customHeight="1" x14ac:dyDescent="0.3">
      <c r="A28" s="1">
        <v>2020</v>
      </c>
      <c r="B28" s="2">
        <v>0.22940000000000002</v>
      </c>
      <c r="C28" s="2">
        <v>0.18023201827422478</v>
      </c>
      <c r="D28" s="2">
        <v>0.1133189764661412</v>
      </c>
      <c r="K28" s="14">
        <v>0.05</v>
      </c>
      <c r="L28" s="15">
        <v>0.2</v>
      </c>
      <c r="M28" s="15">
        <f t="shared" si="5"/>
        <v>0.75</v>
      </c>
      <c r="N28" s="16">
        <f t="shared" si="3"/>
        <v>1</v>
      </c>
      <c r="O28" s="54">
        <f t="shared" si="0"/>
        <v>7.6459016073944175E-2</v>
      </c>
      <c r="P28" s="17">
        <f t="shared" si="1"/>
        <v>4.2500000000000003E-2</v>
      </c>
      <c r="R28" s="165"/>
      <c r="S28" s="165"/>
      <c r="T28" s="165"/>
      <c r="U28" s="165"/>
      <c r="V28" s="165"/>
      <c r="W28" s="165"/>
      <c r="Z28" s="62" t="s">
        <v>78</v>
      </c>
      <c r="AA28" s="89"/>
      <c r="AB28" s="93">
        <f>AB25 +(1.01)^(1/(AB26)) - 1</f>
        <v>2.0199026420193888E-2</v>
      </c>
      <c r="AC28" s="89"/>
      <c r="AD28" s="89"/>
      <c r="AE28" s="61"/>
      <c r="AG28" s="62"/>
      <c r="AH28" s="91"/>
      <c r="AI28" s="104"/>
      <c r="AJ28" s="91"/>
      <c r="AK28" s="91"/>
      <c r="AL28" s="97"/>
    </row>
    <row r="29" spans="1:38" ht="19.2" customHeight="1" thickBot="1" x14ac:dyDescent="0.35">
      <c r="A29" s="1">
        <v>2021</v>
      </c>
      <c r="B29" s="2">
        <v>9.2300000000000007E-2</v>
      </c>
      <c r="C29" s="2">
        <v>0.28468851751964158</v>
      </c>
      <c r="D29" s="2">
        <v>-4.416034448604475E-2</v>
      </c>
      <c r="K29" s="14">
        <v>0.05</v>
      </c>
      <c r="L29" s="15">
        <v>0.25</v>
      </c>
      <c r="M29" s="15">
        <f t="shared" si="5"/>
        <v>0.7</v>
      </c>
      <c r="N29" s="16">
        <f t="shared" si="3"/>
        <v>1</v>
      </c>
      <c r="O29" s="54">
        <f t="shared" si="0"/>
        <v>7.6926745857928885E-2</v>
      </c>
      <c r="P29" s="17">
        <f t="shared" si="1"/>
        <v>4.3775000000000001E-2</v>
      </c>
      <c r="R29" s="165"/>
      <c r="S29" s="165"/>
      <c r="T29" s="165"/>
      <c r="U29" s="165"/>
      <c r="V29" s="165"/>
      <c r="W29" s="165"/>
      <c r="Z29" s="64"/>
      <c r="AA29" s="65"/>
      <c r="AB29" s="65"/>
      <c r="AC29" s="65"/>
      <c r="AD29" s="65"/>
      <c r="AE29" s="66"/>
      <c r="AG29" s="99"/>
      <c r="AH29" s="100"/>
      <c r="AI29" s="100"/>
      <c r="AJ29" s="100"/>
      <c r="AK29" s="100"/>
      <c r="AL29" s="101"/>
    </row>
    <row r="30" spans="1:38" ht="19.2" customHeight="1" thickBot="1" x14ac:dyDescent="0.35">
      <c r="A30" s="1">
        <v>2022</v>
      </c>
      <c r="B30" s="2">
        <v>-0.15960000000000002</v>
      </c>
      <c r="C30" s="2">
        <v>-0.18037505927178585</v>
      </c>
      <c r="D30" s="2">
        <v>-0.1782817153825067</v>
      </c>
      <c r="K30" s="14">
        <v>0.05</v>
      </c>
      <c r="L30" s="15">
        <v>0.3</v>
      </c>
      <c r="M30" s="15">
        <f t="shared" si="5"/>
        <v>0.64999999999999991</v>
      </c>
      <c r="N30" s="16">
        <f t="shared" si="3"/>
        <v>0.99999999999999989</v>
      </c>
      <c r="O30" s="54">
        <f t="shared" si="0"/>
        <v>7.8911369970134551E-2</v>
      </c>
      <c r="P30" s="17">
        <f t="shared" si="1"/>
        <v>4.505E-2</v>
      </c>
      <c r="R30" s="165"/>
      <c r="S30" s="165"/>
      <c r="T30" s="165"/>
      <c r="U30" s="165"/>
      <c r="V30" s="165"/>
      <c r="W30" s="165"/>
    </row>
    <row r="31" spans="1:38" ht="19.2" customHeight="1" x14ac:dyDescent="0.3">
      <c r="A31" s="1">
        <v>2023</v>
      </c>
      <c r="B31" s="2">
        <v>0.30210000000000004</v>
      </c>
      <c r="C31" s="2">
        <v>0.26060684985024096</v>
      </c>
      <c r="D31" s="2">
        <v>3.8800000000000001E-2</v>
      </c>
      <c r="K31" s="14">
        <v>0.05</v>
      </c>
      <c r="L31" s="15">
        <v>0.35</v>
      </c>
      <c r="M31" s="15">
        <f t="shared" si="5"/>
        <v>0.6</v>
      </c>
      <c r="N31" s="16">
        <f t="shared" si="3"/>
        <v>1</v>
      </c>
      <c r="O31" s="54">
        <f t="shared" si="0"/>
        <v>8.2303228283068408E-2</v>
      </c>
      <c r="P31" s="17">
        <f t="shared" si="1"/>
        <v>4.6325000000000005E-2</v>
      </c>
      <c r="R31" s="165"/>
      <c r="S31" s="165"/>
      <c r="T31" s="165"/>
      <c r="U31" s="165"/>
      <c r="V31" s="165"/>
      <c r="W31" s="165"/>
      <c r="Z31" s="160" t="s">
        <v>81</v>
      </c>
      <c r="AA31" s="161"/>
      <c r="AB31" s="161"/>
      <c r="AC31" s="161"/>
      <c r="AD31" s="161"/>
      <c r="AE31" s="162"/>
    </row>
    <row r="32" spans="1:38" ht="19.2" customHeight="1" x14ac:dyDescent="0.3">
      <c r="A32" s="1">
        <v>2024</v>
      </c>
      <c r="B32" s="2">
        <v>0.14699999999999999</v>
      </c>
      <c r="C32" s="2">
        <v>0.24878611262526726</v>
      </c>
      <c r="D32" s="2">
        <v>-1.6371801436629807E-2</v>
      </c>
      <c r="K32" s="14">
        <v>0.05</v>
      </c>
      <c r="L32" s="15">
        <v>0.39999999999999997</v>
      </c>
      <c r="M32" s="15">
        <f t="shared" si="5"/>
        <v>0.55000000000000004</v>
      </c>
      <c r="N32" s="16">
        <f t="shared" si="3"/>
        <v>1</v>
      </c>
      <c r="O32" s="54">
        <f t="shared" si="0"/>
        <v>8.6937767707968197E-2</v>
      </c>
      <c r="P32" s="17">
        <f t="shared" si="1"/>
        <v>4.7600000000000003E-2</v>
      </c>
      <c r="R32" s="165"/>
      <c r="S32" s="165"/>
      <c r="T32" s="165"/>
      <c r="U32" s="165"/>
      <c r="V32" s="165"/>
      <c r="W32" s="165"/>
      <c r="Z32" s="163"/>
      <c r="AA32" s="207"/>
      <c r="AB32" s="207"/>
      <c r="AC32" s="207"/>
      <c r="AD32" s="207"/>
      <c r="AE32" s="164"/>
    </row>
    <row r="33" spans="1:36" ht="21" x14ac:dyDescent="0.3">
      <c r="A33" t="s">
        <v>93</v>
      </c>
      <c r="K33" s="14">
        <v>0.05</v>
      </c>
      <c r="L33" s="15">
        <v>0.44999999999999996</v>
      </c>
      <c r="M33" s="15">
        <f t="shared" si="5"/>
        <v>0.5</v>
      </c>
      <c r="N33" s="16">
        <f t="shared" si="3"/>
        <v>1</v>
      </c>
      <c r="O33" s="54">
        <f t="shared" si="0"/>
        <v>9.2628648458523602E-2</v>
      </c>
      <c r="P33" s="17">
        <f t="shared" si="1"/>
        <v>4.8875000000000002E-2</v>
      </c>
      <c r="R33" s="165"/>
      <c r="S33" s="165"/>
      <c r="T33" s="165"/>
      <c r="U33" s="165"/>
      <c r="V33" s="165"/>
      <c r="W33" s="165"/>
      <c r="Z33" s="105" t="s">
        <v>72</v>
      </c>
      <c r="AA33" s="208" t="s">
        <v>73</v>
      </c>
      <c r="AB33" s="208" t="s">
        <v>74</v>
      </c>
      <c r="AC33" s="209" t="s">
        <v>64</v>
      </c>
      <c r="AD33" s="209" t="s">
        <v>65</v>
      </c>
      <c r="AE33" s="106" t="s">
        <v>66</v>
      </c>
    </row>
    <row r="34" spans="1:36" x14ac:dyDescent="0.3">
      <c r="K34" s="14">
        <v>0.05</v>
      </c>
      <c r="L34" s="15">
        <v>0.49999999999999994</v>
      </c>
      <c r="M34" s="15">
        <f t="shared" si="5"/>
        <v>0.45</v>
      </c>
      <c r="N34" s="16">
        <f t="shared" si="3"/>
        <v>1</v>
      </c>
      <c r="O34" s="54">
        <f t="shared" si="0"/>
        <v>9.919422649246884E-2</v>
      </c>
      <c r="P34" s="17">
        <f t="shared" si="1"/>
        <v>5.015E-2</v>
      </c>
      <c r="Z34" s="127">
        <v>0.52042067461097496</v>
      </c>
      <c r="AA34" s="210">
        <v>0.05</v>
      </c>
      <c r="AB34" s="210">
        <v>0.4295783253890248</v>
      </c>
      <c r="AC34" s="211">
        <f>SUM(Z34:AB34)</f>
        <v>0.99999899999999986</v>
      </c>
      <c r="AD34" s="107">
        <f>SQRT(Z34^2*$G$4^2 + AA34^2*$H$4^2 + AB34^2*$I$4^2 + 2*Z34*AA34*$G$10*$G$4*$H$4 + 2*AA34*AB34*$G$12*$H$4*$I$4 + 2*Z34*AB34*$G$11*$G$4*$I$4)</f>
        <v>9.0607072880275502E-2</v>
      </c>
      <c r="AE34" s="108">
        <f>Z34*$G$7 + AA34*$H$7 + AB34*$I$7</f>
        <v>7.0663571873546285E-2</v>
      </c>
    </row>
    <row r="35" spans="1:36" x14ac:dyDescent="0.3">
      <c r="K35" s="14">
        <v>0.05</v>
      </c>
      <c r="L35" s="15">
        <v>0.54999999999999993</v>
      </c>
      <c r="M35" s="15">
        <f t="shared" si="5"/>
        <v>0.4</v>
      </c>
      <c r="N35" s="16">
        <f t="shared" si="3"/>
        <v>1</v>
      </c>
      <c r="O35" s="54">
        <f t="shared" si="0"/>
        <v>0.10647281163096994</v>
      </c>
      <c r="P35" s="17">
        <f t="shared" si="1"/>
        <v>5.1424999999999998E-2</v>
      </c>
      <c r="Z35" s="109"/>
      <c r="AA35" s="212"/>
      <c r="AB35" s="212"/>
      <c r="AC35" s="212"/>
      <c r="AD35" s="212"/>
      <c r="AE35" s="110"/>
    </row>
    <row r="36" spans="1:36" x14ac:dyDescent="0.3">
      <c r="K36" s="14">
        <v>0.05</v>
      </c>
      <c r="L36" s="15">
        <v>0.6</v>
      </c>
      <c r="M36" s="15">
        <f t="shared" si="5"/>
        <v>0.35</v>
      </c>
      <c r="N36" s="16">
        <f t="shared" si="3"/>
        <v>1</v>
      </c>
      <c r="O36" s="54">
        <f t="shared" si="0"/>
        <v>0.11432830645446977</v>
      </c>
      <c r="P36" s="17">
        <f t="shared" si="1"/>
        <v>5.2700000000000004E-2</v>
      </c>
      <c r="Z36" s="111" t="s">
        <v>76</v>
      </c>
      <c r="AA36" s="212"/>
      <c r="AB36" s="213">
        <v>0.05</v>
      </c>
      <c r="AC36" s="212"/>
      <c r="AD36" s="212"/>
      <c r="AE36" s="110"/>
    </row>
    <row r="37" spans="1:36" x14ac:dyDescent="0.3">
      <c r="K37" s="14">
        <v>0.05</v>
      </c>
      <c r="L37" s="15">
        <v>0.65</v>
      </c>
      <c r="M37" s="15">
        <f t="shared" si="5"/>
        <v>0.29999999999999993</v>
      </c>
      <c r="N37" s="16">
        <f t="shared" si="3"/>
        <v>1</v>
      </c>
      <c r="O37" s="54">
        <f t="shared" si="0"/>
        <v>0.12264991108789544</v>
      </c>
      <c r="P37" s="17">
        <f t="shared" si="1"/>
        <v>5.3975000000000002E-2</v>
      </c>
      <c r="Z37" s="111" t="s">
        <v>77</v>
      </c>
      <c r="AA37" s="212"/>
      <c r="AB37" s="213">
        <v>0.02</v>
      </c>
      <c r="AC37" s="212"/>
      <c r="AD37" s="214" t="s">
        <v>80</v>
      </c>
      <c r="AE37" s="112">
        <f>AE34-AB36</f>
        <v>2.0663571873546283E-2</v>
      </c>
      <c r="AJ37" s="13"/>
    </row>
    <row r="38" spans="1:36" x14ac:dyDescent="0.3">
      <c r="K38" s="14">
        <v>0.05</v>
      </c>
      <c r="L38" s="15">
        <v>0.70000000000000007</v>
      </c>
      <c r="M38" s="15">
        <f t="shared" si="5"/>
        <v>0.24999999999999989</v>
      </c>
      <c r="N38" s="16">
        <f t="shared" si="3"/>
        <v>1</v>
      </c>
      <c r="O38" s="54">
        <f t="shared" si="0"/>
        <v>0.13134906438939142</v>
      </c>
      <c r="P38" s="17">
        <f t="shared" si="1"/>
        <v>5.5250000000000007E-2</v>
      </c>
      <c r="Z38" s="111" t="s">
        <v>79</v>
      </c>
      <c r="AA38" s="212"/>
      <c r="AB38" s="215">
        <f>15</f>
        <v>15</v>
      </c>
      <c r="AC38" s="212"/>
      <c r="AD38" s="212"/>
      <c r="AE38" s="110"/>
    </row>
    <row r="39" spans="1:36" x14ac:dyDescent="0.3">
      <c r="K39" s="14">
        <v>0.05</v>
      </c>
      <c r="L39" s="15">
        <v>0.75000000000000011</v>
      </c>
      <c r="M39" s="15">
        <f t="shared" ref="M39:M62" si="6">1-K39-L39</f>
        <v>0.19999999999999984</v>
      </c>
      <c r="N39" s="16">
        <f t="shared" si="3"/>
        <v>1</v>
      </c>
      <c r="O39" s="54">
        <f t="shared" si="0"/>
        <v>0.1403555831986982</v>
      </c>
      <c r="P39" s="17">
        <f t="shared" si="1"/>
        <v>5.6525000000000006E-2</v>
      </c>
      <c r="Z39" s="111"/>
      <c r="AA39" s="212"/>
      <c r="AB39" s="129"/>
      <c r="AC39" s="212"/>
      <c r="AD39" s="212"/>
      <c r="AE39" s="110"/>
    </row>
    <row r="40" spans="1:36" x14ac:dyDescent="0.3">
      <c r="K40" s="14">
        <v>0.05</v>
      </c>
      <c r="L40" s="15">
        <v>0.80000000000000016</v>
      </c>
      <c r="M40" s="15">
        <f t="shared" si="6"/>
        <v>0.1499999999999998</v>
      </c>
      <c r="N40" s="16">
        <f t="shared" si="3"/>
        <v>1</v>
      </c>
      <c r="O40" s="54">
        <f t="shared" si="0"/>
        <v>0.14961396909080121</v>
      </c>
      <c r="P40" s="17">
        <f t="shared" si="1"/>
        <v>5.7800000000000004E-2</v>
      </c>
      <c r="Z40" s="111" t="s">
        <v>134</v>
      </c>
      <c r="AA40" s="212"/>
      <c r="AB40" s="213">
        <v>0.05</v>
      </c>
      <c r="AC40" s="212"/>
      <c r="AD40" s="212"/>
      <c r="AE40" s="110"/>
    </row>
    <row r="41" spans="1:36" x14ac:dyDescent="0.3">
      <c r="K41" s="14">
        <v>0.05</v>
      </c>
      <c r="L41" s="15">
        <v>0.8500000000000002</v>
      </c>
      <c r="M41" s="15">
        <f t="shared" si="6"/>
        <v>9.9999999999999756E-2</v>
      </c>
      <c r="N41" s="16">
        <f t="shared" si="3"/>
        <v>1</v>
      </c>
      <c r="O41" s="54">
        <f t="shared" si="0"/>
        <v>0.1590802525524086</v>
      </c>
      <c r="P41" s="17">
        <f t="shared" si="1"/>
        <v>5.9075000000000009E-2</v>
      </c>
      <c r="Z41" s="111" t="s">
        <v>78</v>
      </c>
      <c r="AA41" s="212"/>
      <c r="AB41" s="216">
        <f>AB37 +(1.01)^(1/(AB38)) - 1</f>
        <v>2.0663575459056727E-2</v>
      </c>
      <c r="AC41" s="212"/>
      <c r="AD41" s="212"/>
      <c r="AE41" s="110"/>
    </row>
    <row r="42" spans="1:36" ht="15" thickBot="1" x14ac:dyDescent="0.35">
      <c r="K42" s="14">
        <v>0.05</v>
      </c>
      <c r="L42" s="15">
        <v>0.90000000000000024</v>
      </c>
      <c r="M42" s="15">
        <f t="shared" si="6"/>
        <v>4.9999999999999711E-2</v>
      </c>
      <c r="N42" s="16">
        <f t="shared" si="3"/>
        <v>1</v>
      </c>
      <c r="O42" s="54">
        <f t="shared" si="0"/>
        <v>0.16871944390066998</v>
      </c>
      <c r="P42" s="17">
        <f t="shared" si="1"/>
        <v>6.0350000000000015E-2</v>
      </c>
      <c r="Z42" s="113"/>
      <c r="AA42" s="114"/>
      <c r="AB42" s="114"/>
      <c r="AC42" s="114"/>
      <c r="AD42" s="114"/>
      <c r="AE42" s="115"/>
    </row>
    <row r="43" spans="1:36" x14ac:dyDescent="0.3">
      <c r="K43" s="14">
        <v>0.05</v>
      </c>
      <c r="L43" s="15">
        <v>0.95000000000000029</v>
      </c>
      <c r="M43" s="15">
        <f t="shared" si="6"/>
        <v>0</v>
      </c>
      <c r="N43" s="16">
        <f t="shared" si="3"/>
        <v>1.0000000000000002</v>
      </c>
      <c r="O43" s="54">
        <f t="shared" si="0"/>
        <v>0.17850353425392704</v>
      </c>
      <c r="P43" s="17">
        <f t="shared" si="1"/>
        <v>6.162500000000002E-2</v>
      </c>
    </row>
    <row r="44" spans="1:36" x14ac:dyDescent="0.3">
      <c r="K44" s="14">
        <v>0.1</v>
      </c>
      <c r="L44" s="15" cm="1">
        <f t="array" ref="L44:L62">_xlfn.SEQUENCE(19,,0,5%)</f>
        <v>0</v>
      </c>
      <c r="M44" s="15">
        <f t="shared" si="6"/>
        <v>0.9</v>
      </c>
      <c r="N44" s="16">
        <f t="shared" si="3"/>
        <v>1</v>
      </c>
      <c r="O44" s="54">
        <f t="shared" si="0"/>
        <v>8.4395728188411637E-2</v>
      </c>
      <c r="P44" s="17">
        <f t="shared" si="1"/>
        <v>4.0800000000000003E-2</v>
      </c>
    </row>
    <row r="45" spans="1:36" x14ac:dyDescent="0.3">
      <c r="K45" s="14">
        <v>0.1</v>
      </c>
      <c r="L45" s="15">
        <v>0.05</v>
      </c>
      <c r="M45" s="15">
        <f t="shared" si="6"/>
        <v>0.85</v>
      </c>
      <c r="N45" s="16">
        <f t="shared" si="3"/>
        <v>1</v>
      </c>
      <c r="O45" s="54">
        <f t="shared" si="0"/>
        <v>8.0120885904409106E-2</v>
      </c>
      <c r="P45" s="17">
        <f t="shared" si="1"/>
        <v>4.2075000000000001E-2</v>
      </c>
    </row>
    <row r="46" spans="1:36" x14ac:dyDescent="0.3">
      <c r="K46" s="14">
        <v>0.1</v>
      </c>
      <c r="L46" s="15">
        <v>0.1</v>
      </c>
      <c r="M46" s="15">
        <f t="shared" si="6"/>
        <v>0.8</v>
      </c>
      <c r="N46" s="16">
        <f t="shared" si="3"/>
        <v>1</v>
      </c>
      <c r="O46" s="54">
        <f t="shared" si="0"/>
        <v>7.7159644716268461E-2</v>
      </c>
      <c r="P46" s="17">
        <f t="shared" si="1"/>
        <v>4.335E-2</v>
      </c>
    </row>
    <row r="47" spans="1:36" x14ac:dyDescent="0.3">
      <c r="K47" s="14">
        <v>0.1</v>
      </c>
      <c r="L47" s="15">
        <v>0.15000000000000002</v>
      </c>
      <c r="M47" s="15">
        <f t="shared" si="6"/>
        <v>0.75</v>
      </c>
      <c r="N47" s="16">
        <f t="shared" si="3"/>
        <v>1</v>
      </c>
      <c r="O47" s="54">
        <f t="shared" si="0"/>
        <v>7.5666387388010986E-2</v>
      </c>
      <c r="P47" s="17">
        <f t="shared" si="1"/>
        <v>4.4625000000000005E-2</v>
      </c>
    </row>
    <row r="48" spans="1:36" x14ac:dyDescent="0.3">
      <c r="K48" s="14">
        <v>0.1</v>
      </c>
      <c r="L48" s="15">
        <v>0.2</v>
      </c>
      <c r="M48" s="15">
        <f t="shared" si="6"/>
        <v>0.7</v>
      </c>
      <c r="N48" s="16">
        <f t="shared" si="3"/>
        <v>1</v>
      </c>
      <c r="O48" s="54">
        <f t="shared" si="0"/>
        <v>7.5728003941360242E-2</v>
      </c>
      <c r="P48" s="17">
        <f t="shared" si="1"/>
        <v>4.5900000000000003E-2</v>
      </c>
    </row>
    <row r="49" spans="11:16" x14ac:dyDescent="0.3">
      <c r="K49" s="14">
        <v>0.1</v>
      </c>
      <c r="L49" s="15">
        <v>0.25</v>
      </c>
      <c r="M49" s="15">
        <f t="shared" si="6"/>
        <v>0.65</v>
      </c>
      <c r="N49" s="16">
        <f t="shared" si="3"/>
        <v>1</v>
      </c>
      <c r="O49" s="54">
        <f t="shared" si="0"/>
        <v>7.7340778212474301E-2</v>
      </c>
      <c r="P49" s="17">
        <f t="shared" si="1"/>
        <v>4.7175000000000002E-2</v>
      </c>
    </row>
    <row r="50" spans="11:16" x14ac:dyDescent="0.3">
      <c r="K50" s="14">
        <v>0.1</v>
      </c>
      <c r="L50" s="15">
        <v>0.3</v>
      </c>
      <c r="M50" s="15">
        <f t="shared" si="6"/>
        <v>0.60000000000000009</v>
      </c>
      <c r="N50" s="16">
        <f t="shared" si="3"/>
        <v>1</v>
      </c>
      <c r="O50" s="54">
        <f t="shared" si="0"/>
        <v>8.0411431780922513E-2</v>
      </c>
      <c r="P50" s="17">
        <f t="shared" si="1"/>
        <v>4.8450000000000007E-2</v>
      </c>
    </row>
    <row r="51" spans="11:16" x14ac:dyDescent="0.3">
      <c r="K51" s="14">
        <v>0.1</v>
      </c>
      <c r="L51" s="15">
        <v>0.35</v>
      </c>
      <c r="M51" s="15">
        <f t="shared" si="6"/>
        <v>0.55000000000000004</v>
      </c>
      <c r="N51" s="16">
        <f t="shared" si="3"/>
        <v>1</v>
      </c>
      <c r="O51" s="54">
        <f t="shared" si="0"/>
        <v>8.4781706402873927E-2</v>
      </c>
      <c r="P51" s="17">
        <f t="shared" si="1"/>
        <v>4.9725000000000005E-2</v>
      </c>
    </row>
    <row r="52" spans="11:16" x14ac:dyDescent="0.3">
      <c r="K52" s="14">
        <v>0.1</v>
      </c>
      <c r="L52" s="15">
        <v>0.39999999999999997</v>
      </c>
      <c r="M52" s="15">
        <f t="shared" si="6"/>
        <v>0.5</v>
      </c>
      <c r="N52" s="16">
        <f t="shared" si="3"/>
        <v>1</v>
      </c>
      <c r="O52" s="54">
        <f t="shared" si="0"/>
        <v>9.0263027387112491E-2</v>
      </c>
      <c r="P52" s="17">
        <f t="shared" si="1"/>
        <v>5.1000000000000004E-2</v>
      </c>
    </row>
    <row r="53" spans="11:16" x14ac:dyDescent="0.3">
      <c r="K53" s="14">
        <v>0.1</v>
      </c>
      <c r="L53" s="15">
        <v>0.44999999999999996</v>
      </c>
      <c r="M53" s="15">
        <f t="shared" si="6"/>
        <v>0.45000000000000007</v>
      </c>
      <c r="N53" s="16">
        <f t="shared" si="3"/>
        <v>1</v>
      </c>
      <c r="O53" s="54">
        <f t="shared" si="0"/>
        <v>9.6666578912095943E-2</v>
      </c>
      <c r="P53" s="17">
        <f t="shared" si="1"/>
        <v>5.2275000000000002E-2</v>
      </c>
    </row>
    <row r="54" spans="11:16" x14ac:dyDescent="0.3">
      <c r="K54" s="14">
        <v>0.1</v>
      </c>
      <c r="L54" s="15">
        <v>0.49999999999999994</v>
      </c>
      <c r="M54" s="15">
        <f t="shared" si="6"/>
        <v>0.40000000000000008</v>
      </c>
      <c r="N54" s="16">
        <f t="shared" si="3"/>
        <v>1</v>
      </c>
      <c r="O54" s="54">
        <f t="shared" si="0"/>
        <v>0.10382185625882764</v>
      </c>
      <c r="P54" s="17">
        <f t="shared" si="1"/>
        <v>5.355E-2</v>
      </c>
    </row>
    <row r="55" spans="11:16" x14ac:dyDescent="0.3">
      <c r="K55" s="14">
        <v>0.1</v>
      </c>
      <c r="L55" s="15">
        <v>0.54999999999999993</v>
      </c>
      <c r="M55" s="15">
        <f t="shared" si="6"/>
        <v>0.35000000000000009</v>
      </c>
      <c r="N55" s="16">
        <f t="shared" si="3"/>
        <v>1</v>
      </c>
      <c r="O55" s="54">
        <f t="shared" si="0"/>
        <v>0.1115843411436713</v>
      </c>
      <c r="P55" s="17">
        <f t="shared" si="1"/>
        <v>5.4824999999999999E-2</v>
      </c>
    </row>
    <row r="56" spans="11:16" x14ac:dyDescent="0.3">
      <c r="K56" s="14">
        <v>0.1</v>
      </c>
      <c r="L56" s="15">
        <v>0.6</v>
      </c>
      <c r="M56" s="15">
        <f t="shared" si="6"/>
        <v>0.30000000000000004</v>
      </c>
      <c r="N56" s="16">
        <f t="shared" si="3"/>
        <v>1</v>
      </c>
      <c r="O56" s="54">
        <f t="shared" si="0"/>
        <v>0.11983609444939411</v>
      </c>
      <c r="P56" s="17">
        <f t="shared" si="1"/>
        <v>5.6100000000000004E-2</v>
      </c>
    </row>
    <row r="57" spans="11:16" x14ac:dyDescent="0.3">
      <c r="K57" s="14">
        <v>0.1</v>
      </c>
      <c r="L57" s="15">
        <v>0.65</v>
      </c>
      <c r="M57" s="15">
        <f t="shared" si="6"/>
        <v>0.25</v>
      </c>
      <c r="N57" s="16">
        <f t="shared" si="3"/>
        <v>1</v>
      </c>
      <c r="O57" s="54">
        <f t="shared" si="0"/>
        <v>0.12848288162350399</v>
      </c>
      <c r="P57" s="17">
        <f t="shared" si="1"/>
        <v>5.7375000000000002E-2</v>
      </c>
    </row>
    <row r="58" spans="11:16" x14ac:dyDescent="0.3">
      <c r="K58" s="14">
        <v>0.1</v>
      </c>
      <c r="L58" s="15">
        <v>0.70000000000000007</v>
      </c>
      <c r="M58" s="15">
        <f t="shared" si="6"/>
        <v>0.19999999999999996</v>
      </c>
      <c r="N58" s="16">
        <f t="shared" si="3"/>
        <v>1</v>
      </c>
      <c r="O58" s="54">
        <f t="shared" si="0"/>
        <v>0.13745016988222652</v>
      </c>
      <c r="P58" s="17">
        <f t="shared" si="1"/>
        <v>5.8650000000000008E-2</v>
      </c>
    </row>
    <row r="59" spans="11:16" x14ac:dyDescent="0.3">
      <c r="K59" s="14">
        <v>0.1</v>
      </c>
      <c r="L59" s="15">
        <v>0.75000000000000011</v>
      </c>
      <c r="M59" s="15">
        <f t="shared" si="6"/>
        <v>0.14999999999999991</v>
      </c>
      <c r="N59" s="16">
        <f t="shared" si="3"/>
        <v>1</v>
      </c>
      <c r="O59" s="54">
        <f t="shared" si="0"/>
        <v>0.14667918913058137</v>
      </c>
      <c r="P59" s="17">
        <f t="shared" si="1"/>
        <v>5.9925000000000013E-2</v>
      </c>
    </row>
    <row r="60" spans="11:16" x14ac:dyDescent="0.3">
      <c r="K60" s="14">
        <v>0.1</v>
      </c>
      <c r="L60" s="15">
        <v>0.80000000000000016</v>
      </c>
      <c r="M60" s="15">
        <f t="shared" si="6"/>
        <v>9.9999999999999867E-2</v>
      </c>
      <c r="N60" s="16">
        <f t="shared" si="3"/>
        <v>1</v>
      </c>
      <c r="O60" s="54">
        <f t="shared" si="0"/>
        <v>0.1561235307067296</v>
      </c>
      <c r="P60" s="17">
        <f t="shared" si="1"/>
        <v>6.1200000000000004E-2</v>
      </c>
    </row>
    <row r="61" spans="11:16" x14ac:dyDescent="0.3">
      <c r="K61" s="14">
        <v>0.1</v>
      </c>
      <c r="L61" s="15">
        <v>0.8500000000000002</v>
      </c>
      <c r="M61" s="15">
        <f t="shared" si="6"/>
        <v>4.9999999999999822E-2</v>
      </c>
      <c r="N61" s="16">
        <f t="shared" si="3"/>
        <v>1</v>
      </c>
      <c r="O61" s="54">
        <f t="shared" si="0"/>
        <v>0.16574639106069175</v>
      </c>
      <c r="P61" s="17">
        <f t="shared" si="1"/>
        <v>6.247500000000001E-2</v>
      </c>
    </row>
    <row r="62" spans="11:16" x14ac:dyDescent="0.3">
      <c r="K62" s="14">
        <v>0.1</v>
      </c>
      <c r="L62" s="15">
        <v>0.90000000000000024</v>
      </c>
      <c r="M62" s="15">
        <f t="shared" si="6"/>
        <v>0</v>
      </c>
      <c r="N62" s="16">
        <f t="shared" si="3"/>
        <v>1.0000000000000002</v>
      </c>
      <c r="O62" s="54">
        <f t="shared" si="0"/>
        <v>0.17551841057829437</v>
      </c>
      <c r="P62" s="17">
        <f t="shared" si="1"/>
        <v>6.3750000000000029E-2</v>
      </c>
    </row>
    <row r="63" spans="11:16" x14ac:dyDescent="0.3">
      <c r="K63" s="14">
        <v>0.15</v>
      </c>
      <c r="L63" s="15" cm="1">
        <f t="array" ref="L63:L80">_xlfn.SEQUENCE(18,,0,5%)</f>
        <v>0</v>
      </c>
      <c r="M63" s="15">
        <f t="shared" ref="M63:M80" si="7">1-K63-L63</f>
        <v>0.85</v>
      </c>
      <c r="N63" s="16">
        <f t="shared" si="3"/>
        <v>1</v>
      </c>
      <c r="O63" s="54">
        <f t="shared" si="0"/>
        <v>8.0569780010499359E-2</v>
      </c>
      <c r="P63" s="17">
        <f t="shared" si="1"/>
        <v>4.4200000000000003E-2</v>
      </c>
    </row>
    <row r="64" spans="11:16" x14ac:dyDescent="0.3">
      <c r="K64" s="14">
        <v>0.15</v>
      </c>
      <c r="L64" s="15">
        <v>0.05</v>
      </c>
      <c r="M64" s="15">
        <f t="shared" si="7"/>
        <v>0.79999999999999993</v>
      </c>
      <c r="N64" s="16">
        <f t="shared" si="3"/>
        <v>1</v>
      </c>
      <c r="O64" s="54">
        <f t="shared" si="0"/>
        <v>7.7222594989219892E-2</v>
      </c>
      <c r="P64" s="17">
        <f t="shared" si="1"/>
        <v>4.5475000000000002E-2</v>
      </c>
    </row>
    <row r="65" spans="11:16" x14ac:dyDescent="0.3">
      <c r="K65" s="14">
        <v>0.15</v>
      </c>
      <c r="L65" s="15">
        <v>0.1</v>
      </c>
      <c r="M65" s="15">
        <f t="shared" si="7"/>
        <v>0.75</v>
      </c>
      <c r="N65" s="16">
        <f t="shared" si="3"/>
        <v>1</v>
      </c>
      <c r="O65" s="54">
        <f t="shared" si="0"/>
        <v>7.5317367822941475E-2</v>
      </c>
      <c r="P65" s="17">
        <f t="shared" si="1"/>
        <v>4.675E-2</v>
      </c>
    </row>
    <row r="66" spans="11:16" x14ac:dyDescent="0.3">
      <c r="K66" s="14">
        <v>0.15</v>
      </c>
      <c r="L66" s="15">
        <v>0.15000000000000002</v>
      </c>
      <c r="M66" s="15">
        <f t="shared" si="7"/>
        <v>0.7</v>
      </c>
      <c r="N66" s="16">
        <f t="shared" si="3"/>
        <v>1</v>
      </c>
      <c r="O66" s="54">
        <f t="shared" si="0"/>
        <v>7.4964122136271155E-2</v>
      </c>
      <c r="P66" s="17">
        <f t="shared" si="1"/>
        <v>4.8024999999999998E-2</v>
      </c>
    </row>
    <row r="67" spans="11:16" x14ac:dyDescent="0.3">
      <c r="K67" s="14">
        <v>0.15</v>
      </c>
      <c r="L67" s="15">
        <v>0.2</v>
      </c>
      <c r="M67" s="15">
        <f t="shared" si="7"/>
        <v>0.64999999999999991</v>
      </c>
      <c r="N67" s="16">
        <f t="shared" si="3"/>
        <v>0.99999999999999989</v>
      </c>
      <c r="O67" s="54">
        <f t="shared" ref="O67:O130" si="8">SQRT(K67^2*$G$4^2 + L67^2*$H$4^2 + M67^2*$I$4^2 + 2*K67*L67*$G$10*$G$4*$H$4 + 2*L67*M67*$G$12*$H$4*$I$4 + 2*K67*M67*$G$11*$G$4*$I$4)</f>
        <v>7.6184449282813899E-2</v>
      </c>
      <c r="P67" s="17">
        <f t="shared" ref="P67:P130" si="9">K67*$G$7 + L67*$H$7 + M67*$I$7</f>
        <v>4.9299999999999997E-2</v>
      </c>
    </row>
    <row r="68" spans="11:16" x14ac:dyDescent="0.3">
      <c r="K68" s="14">
        <v>0.15</v>
      </c>
      <c r="L68" s="15">
        <v>0.25</v>
      </c>
      <c r="M68" s="15">
        <f t="shared" si="7"/>
        <v>0.6</v>
      </c>
      <c r="N68" s="16">
        <f t="shared" ref="N68:N131" si="10">SUM(K68:M68)</f>
        <v>1</v>
      </c>
      <c r="O68" s="54">
        <f t="shared" si="8"/>
        <v>7.8905373773703477E-2</v>
      </c>
      <c r="P68" s="17">
        <f t="shared" si="9"/>
        <v>5.0575000000000002E-2</v>
      </c>
    </row>
    <row r="69" spans="11:16" x14ac:dyDescent="0.3">
      <c r="K69" s="14">
        <v>0.15</v>
      </c>
      <c r="L69" s="15">
        <v>0.3</v>
      </c>
      <c r="M69" s="15">
        <f t="shared" si="7"/>
        <v>0.55000000000000004</v>
      </c>
      <c r="N69" s="16">
        <f t="shared" si="10"/>
        <v>1</v>
      </c>
      <c r="O69" s="54">
        <f t="shared" si="8"/>
        <v>8.2979411309001272E-2</v>
      </c>
      <c r="P69" s="17">
        <f t="shared" si="9"/>
        <v>5.185E-2</v>
      </c>
    </row>
    <row r="70" spans="11:16" x14ac:dyDescent="0.3">
      <c r="K70" s="14">
        <v>0.15</v>
      </c>
      <c r="L70" s="15">
        <v>0.35</v>
      </c>
      <c r="M70" s="15">
        <f t="shared" si="7"/>
        <v>0.5</v>
      </c>
      <c r="N70" s="16">
        <f t="shared" si="10"/>
        <v>1</v>
      </c>
      <c r="O70" s="54">
        <f t="shared" si="8"/>
        <v>8.8219297123629983E-2</v>
      </c>
      <c r="P70" s="17">
        <f t="shared" si="9"/>
        <v>5.3124999999999999E-2</v>
      </c>
    </row>
    <row r="71" spans="11:16" x14ac:dyDescent="0.3">
      <c r="K71" s="14">
        <v>0.15</v>
      </c>
      <c r="L71" s="15">
        <v>0.39999999999999997</v>
      </c>
      <c r="M71" s="15">
        <f t="shared" si="7"/>
        <v>0.45</v>
      </c>
      <c r="N71" s="16">
        <f t="shared" si="10"/>
        <v>1</v>
      </c>
      <c r="O71" s="54">
        <f t="shared" si="8"/>
        <v>9.443115514365244E-2</v>
      </c>
      <c r="P71" s="17">
        <f t="shared" si="9"/>
        <v>5.4399999999999997E-2</v>
      </c>
    </row>
    <row r="72" spans="11:16" x14ac:dyDescent="0.3">
      <c r="K72" s="14">
        <v>0.15</v>
      </c>
      <c r="L72" s="15">
        <v>0.44999999999999996</v>
      </c>
      <c r="M72" s="15">
        <f t="shared" si="7"/>
        <v>0.4</v>
      </c>
      <c r="N72" s="16">
        <f t="shared" si="10"/>
        <v>1</v>
      </c>
      <c r="O72" s="54">
        <f t="shared" si="8"/>
        <v>0.1014365749200955</v>
      </c>
      <c r="P72" s="17">
        <f t="shared" si="9"/>
        <v>5.5675000000000002E-2</v>
      </c>
    </row>
    <row r="73" spans="11:16" x14ac:dyDescent="0.3">
      <c r="K73" s="14">
        <v>0.15</v>
      </c>
      <c r="L73" s="15">
        <v>0.49999999999999994</v>
      </c>
      <c r="M73" s="15">
        <f t="shared" si="7"/>
        <v>0.35000000000000003</v>
      </c>
      <c r="N73" s="16">
        <f t="shared" si="10"/>
        <v>1</v>
      </c>
      <c r="O73" s="54">
        <f t="shared" si="8"/>
        <v>0.10908277313239743</v>
      </c>
      <c r="P73" s="17">
        <f t="shared" si="9"/>
        <v>5.6949999999999994E-2</v>
      </c>
    </row>
    <row r="74" spans="11:16" x14ac:dyDescent="0.3">
      <c r="K74" s="14">
        <v>0.15</v>
      </c>
      <c r="L74" s="15">
        <v>0.54999999999999993</v>
      </c>
      <c r="M74" s="15">
        <f t="shared" si="7"/>
        <v>0.30000000000000004</v>
      </c>
      <c r="N74" s="16">
        <f t="shared" si="10"/>
        <v>1</v>
      </c>
      <c r="O74" s="54">
        <f t="shared" si="8"/>
        <v>0.1172444499751113</v>
      </c>
      <c r="P74" s="17">
        <f t="shared" si="9"/>
        <v>5.8224999999999999E-2</v>
      </c>
    </row>
    <row r="75" spans="11:16" x14ac:dyDescent="0.3">
      <c r="K75" s="14">
        <v>0.15</v>
      </c>
      <c r="L75" s="15">
        <v>0.6</v>
      </c>
      <c r="M75" s="15">
        <f t="shared" si="7"/>
        <v>0.25</v>
      </c>
      <c r="N75" s="16">
        <f t="shared" si="10"/>
        <v>1</v>
      </c>
      <c r="O75" s="54">
        <f t="shared" si="8"/>
        <v>0.12582133244667618</v>
      </c>
      <c r="P75" s="17">
        <f t="shared" si="9"/>
        <v>5.9500000000000004E-2</v>
      </c>
    </row>
    <row r="76" spans="11:16" x14ac:dyDescent="0.3">
      <c r="K76" s="14">
        <v>0.15</v>
      </c>
      <c r="L76" s="15">
        <v>0.65</v>
      </c>
      <c r="M76" s="15">
        <f t="shared" si="7"/>
        <v>0.19999999999999996</v>
      </c>
      <c r="N76" s="16">
        <f t="shared" si="10"/>
        <v>1</v>
      </c>
      <c r="O76" s="54">
        <f t="shared" si="8"/>
        <v>0.13473415060898997</v>
      </c>
      <c r="P76" s="17">
        <f t="shared" si="9"/>
        <v>6.0774999999999996E-2</v>
      </c>
    </row>
    <row r="77" spans="11:16" x14ac:dyDescent="0.3">
      <c r="K77" s="14">
        <v>0.15</v>
      </c>
      <c r="L77" s="15">
        <v>0.70000000000000007</v>
      </c>
      <c r="M77" s="15">
        <f t="shared" si="7"/>
        <v>0.14999999999999991</v>
      </c>
      <c r="N77" s="16">
        <f t="shared" si="10"/>
        <v>1</v>
      </c>
      <c r="O77" s="54">
        <f t="shared" si="8"/>
        <v>0.14392050574874071</v>
      </c>
      <c r="P77" s="17">
        <f t="shared" si="9"/>
        <v>6.2050000000000001E-2</v>
      </c>
    </row>
    <row r="78" spans="11:16" x14ac:dyDescent="0.3">
      <c r="K78" s="14">
        <v>0.15</v>
      </c>
      <c r="L78" s="15">
        <v>0.75000000000000011</v>
      </c>
      <c r="M78" s="15">
        <f t="shared" si="7"/>
        <v>9.9999999999999867E-2</v>
      </c>
      <c r="N78" s="16">
        <f t="shared" si="10"/>
        <v>1</v>
      </c>
      <c r="O78" s="54">
        <f t="shared" si="8"/>
        <v>0.15333124144348073</v>
      </c>
      <c r="P78" s="17">
        <f t="shared" si="9"/>
        <v>6.3325000000000006E-2</v>
      </c>
    </row>
    <row r="79" spans="11:16" x14ac:dyDescent="0.3">
      <c r="K79" s="14">
        <v>0.15</v>
      </c>
      <c r="L79" s="15">
        <v>0.80000000000000016</v>
      </c>
      <c r="M79" s="15">
        <f t="shared" si="7"/>
        <v>4.9999999999999822E-2</v>
      </c>
      <c r="N79" s="16">
        <f t="shared" si="10"/>
        <v>1</v>
      </c>
      <c r="O79" s="54">
        <f t="shared" si="8"/>
        <v>0.16292748148548483</v>
      </c>
      <c r="P79" s="17">
        <f t="shared" si="9"/>
        <v>6.4600000000000005E-2</v>
      </c>
    </row>
    <row r="80" spans="11:16" x14ac:dyDescent="0.3">
      <c r="K80" s="14">
        <v>0.15</v>
      </c>
      <c r="L80" s="15">
        <v>0.8500000000000002</v>
      </c>
      <c r="M80" s="15">
        <f t="shared" si="7"/>
        <v>0</v>
      </c>
      <c r="N80" s="16">
        <f t="shared" si="10"/>
        <v>1.0000000000000002</v>
      </c>
      <c r="O80" s="54">
        <f t="shared" si="8"/>
        <v>0.17267830158067157</v>
      </c>
      <c r="P80" s="17">
        <f t="shared" si="9"/>
        <v>6.5875000000000017E-2</v>
      </c>
    </row>
    <row r="81" spans="11:16" x14ac:dyDescent="0.3">
      <c r="K81" s="14">
        <v>0.2</v>
      </c>
      <c r="L81" s="15" cm="1">
        <f t="array" ref="L81:L97">_xlfn.SEQUENCE(17,,0,5%)</f>
        <v>0</v>
      </c>
      <c r="M81" s="15">
        <f t="shared" ref="M81:M144" si="11">1-K81-L81</f>
        <v>0.8</v>
      </c>
      <c r="N81" s="16">
        <f t="shared" si="10"/>
        <v>1</v>
      </c>
      <c r="O81" s="54">
        <f t="shared" si="8"/>
        <v>7.7723421534722864E-2</v>
      </c>
      <c r="P81" s="17">
        <f t="shared" si="9"/>
        <v>4.7600000000000003E-2</v>
      </c>
    </row>
    <row r="82" spans="11:16" x14ac:dyDescent="0.3">
      <c r="K82" s="14">
        <v>0.2</v>
      </c>
      <c r="L82" s="15">
        <v>0.05</v>
      </c>
      <c r="M82" s="15">
        <f t="shared" si="11"/>
        <v>0.75</v>
      </c>
      <c r="N82" s="16">
        <f t="shared" si="10"/>
        <v>1</v>
      </c>
      <c r="O82" s="54">
        <f t="shared" si="8"/>
        <v>7.5418116426139867E-2</v>
      </c>
      <c r="P82" s="17">
        <f t="shared" si="9"/>
        <v>4.8875000000000002E-2</v>
      </c>
    </row>
    <row r="83" spans="11:16" x14ac:dyDescent="0.3">
      <c r="K83" s="14">
        <v>0.2</v>
      </c>
      <c r="L83" s="15">
        <v>0.1</v>
      </c>
      <c r="M83" s="15">
        <f t="shared" si="11"/>
        <v>0.70000000000000007</v>
      </c>
      <c r="N83" s="16">
        <f t="shared" si="10"/>
        <v>1</v>
      </c>
      <c r="O83" s="54">
        <f t="shared" si="8"/>
        <v>7.4648451480574626E-2</v>
      </c>
      <c r="P83" s="17">
        <f t="shared" si="9"/>
        <v>5.0150000000000007E-2</v>
      </c>
    </row>
    <row r="84" spans="11:16" x14ac:dyDescent="0.3">
      <c r="K84" s="14">
        <v>0.2</v>
      </c>
      <c r="L84" s="15">
        <v>0.15000000000000002</v>
      </c>
      <c r="M84" s="15">
        <f t="shared" si="11"/>
        <v>0.65</v>
      </c>
      <c r="N84" s="16">
        <f t="shared" si="10"/>
        <v>1</v>
      </c>
      <c r="O84" s="54">
        <f t="shared" si="8"/>
        <v>7.5461429383539794E-2</v>
      </c>
      <c r="P84" s="17">
        <f t="shared" si="9"/>
        <v>5.1425000000000005E-2</v>
      </c>
    </row>
    <row r="85" spans="11:16" x14ac:dyDescent="0.3">
      <c r="K85" s="14">
        <v>0.2</v>
      </c>
      <c r="L85" s="15">
        <v>0.2</v>
      </c>
      <c r="M85" s="15">
        <f t="shared" si="11"/>
        <v>0.60000000000000009</v>
      </c>
      <c r="N85" s="16">
        <f t="shared" si="10"/>
        <v>1</v>
      </c>
      <c r="O85" s="54">
        <f t="shared" si="8"/>
        <v>7.7807456800390071E-2</v>
      </c>
      <c r="P85" s="17">
        <f t="shared" si="9"/>
        <v>5.2700000000000011E-2</v>
      </c>
    </row>
    <row r="86" spans="11:16" x14ac:dyDescent="0.3">
      <c r="K86" s="14">
        <v>0.2</v>
      </c>
      <c r="L86" s="15">
        <v>0.25</v>
      </c>
      <c r="M86" s="15">
        <f t="shared" si="11"/>
        <v>0.55000000000000004</v>
      </c>
      <c r="N86" s="16">
        <f t="shared" si="10"/>
        <v>1</v>
      </c>
      <c r="O86" s="54">
        <f t="shared" si="8"/>
        <v>8.1554339773310142E-2</v>
      </c>
      <c r="P86" s="17">
        <f t="shared" si="9"/>
        <v>5.3975000000000002E-2</v>
      </c>
    </row>
    <row r="87" spans="11:16" x14ac:dyDescent="0.3">
      <c r="K87" s="14">
        <v>0.2</v>
      </c>
      <c r="L87" s="15">
        <v>0.3</v>
      </c>
      <c r="M87" s="15">
        <f t="shared" si="11"/>
        <v>0.5</v>
      </c>
      <c r="N87" s="16">
        <f t="shared" si="10"/>
        <v>1</v>
      </c>
      <c r="O87" s="54">
        <f t="shared" si="8"/>
        <v>8.652027121406182E-2</v>
      </c>
      <c r="P87" s="17">
        <f t="shared" si="9"/>
        <v>5.5250000000000007E-2</v>
      </c>
    </row>
    <row r="88" spans="11:16" x14ac:dyDescent="0.3">
      <c r="K88" s="14">
        <v>0.2</v>
      </c>
      <c r="L88" s="15">
        <v>0.35</v>
      </c>
      <c r="M88" s="15">
        <f t="shared" si="11"/>
        <v>0.45000000000000007</v>
      </c>
      <c r="N88" s="16">
        <f t="shared" si="10"/>
        <v>1</v>
      </c>
      <c r="O88" s="54">
        <f t="shared" si="8"/>
        <v>9.2509141813268692E-2</v>
      </c>
      <c r="P88" s="17">
        <f t="shared" si="9"/>
        <v>5.6524999999999999E-2</v>
      </c>
    </row>
    <row r="89" spans="11:16" x14ac:dyDescent="0.3">
      <c r="K89" s="14">
        <v>0.2</v>
      </c>
      <c r="L89" s="15">
        <v>0.39999999999999997</v>
      </c>
      <c r="M89" s="15">
        <f t="shared" si="11"/>
        <v>0.40000000000000008</v>
      </c>
      <c r="N89" s="16">
        <f t="shared" si="10"/>
        <v>1</v>
      </c>
      <c r="O89" s="54">
        <f t="shared" si="8"/>
        <v>9.9336107735699231E-2</v>
      </c>
      <c r="P89" s="17">
        <f t="shared" si="9"/>
        <v>5.7800000000000004E-2</v>
      </c>
    </row>
    <row r="90" spans="11:16" x14ac:dyDescent="0.3">
      <c r="K90" s="14">
        <v>0.2</v>
      </c>
      <c r="L90" s="15">
        <v>0.44999999999999996</v>
      </c>
      <c r="M90" s="15">
        <f t="shared" si="11"/>
        <v>0.35000000000000009</v>
      </c>
      <c r="N90" s="16">
        <f t="shared" si="10"/>
        <v>1</v>
      </c>
      <c r="O90" s="54">
        <f t="shared" si="8"/>
        <v>0.1068406302588476</v>
      </c>
      <c r="P90" s="17">
        <f t="shared" si="9"/>
        <v>5.9075000000000003E-2</v>
      </c>
    </row>
    <row r="91" spans="11:16" x14ac:dyDescent="0.3">
      <c r="K91" s="14">
        <v>0.2</v>
      </c>
      <c r="L91" s="15">
        <v>0.49999999999999994</v>
      </c>
      <c r="M91" s="15">
        <f t="shared" si="11"/>
        <v>0.3000000000000001</v>
      </c>
      <c r="N91" s="16">
        <f t="shared" si="10"/>
        <v>1</v>
      </c>
      <c r="O91" s="54">
        <f t="shared" si="8"/>
        <v>0.11489001367009867</v>
      </c>
      <c r="P91" s="17">
        <f t="shared" si="9"/>
        <v>6.0350000000000001E-2</v>
      </c>
    </row>
    <row r="92" spans="11:16" x14ac:dyDescent="0.3">
      <c r="K92" s="14">
        <v>0.2</v>
      </c>
      <c r="L92" s="15">
        <v>0.54999999999999993</v>
      </c>
      <c r="M92" s="15">
        <f t="shared" si="11"/>
        <v>0.25000000000000011</v>
      </c>
      <c r="N92" s="16">
        <f t="shared" si="10"/>
        <v>1</v>
      </c>
      <c r="O92" s="54">
        <f t="shared" si="8"/>
        <v>0.12337766086736078</v>
      </c>
      <c r="P92" s="17">
        <f t="shared" si="9"/>
        <v>6.1624999999999999E-2</v>
      </c>
    </row>
    <row r="93" spans="11:16" x14ac:dyDescent="0.3">
      <c r="K93" s="14">
        <v>0.2</v>
      </c>
      <c r="L93" s="15">
        <v>0.6</v>
      </c>
      <c r="M93" s="15">
        <f t="shared" si="11"/>
        <v>0.20000000000000007</v>
      </c>
      <c r="N93" s="16">
        <f t="shared" si="10"/>
        <v>1</v>
      </c>
      <c r="O93" s="54">
        <f t="shared" si="8"/>
        <v>0.1322191973733991</v>
      </c>
      <c r="P93" s="17">
        <f t="shared" si="9"/>
        <v>6.2900000000000011E-2</v>
      </c>
    </row>
    <row r="94" spans="11:16" x14ac:dyDescent="0.3">
      <c r="K94" s="14">
        <v>0.2</v>
      </c>
      <c r="L94" s="15">
        <v>0.65</v>
      </c>
      <c r="M94" s="15">
        <f t="shared" si="11"/>
        <v>0.15000000000000002</v>
      </c>
      <c r="N94" s="16">
        <f t="shared" si="10"/>
        <v>1</v>
      </c>
      <c r="O94" s="54">
        <f t="shared" si="8"/>
        <v>0.14134822991466353</v>
      </c>
      <c r="P94" s="17">
        <f t="shared" si="9"/>
        <v>6.417500000000001E-2</v>
      </c>
    </row>
    <row r="95" spans="11:16" x14ac:dyDescent="0.3">
      <c r="K95" s="14">
        <v>0.2</v>
      </c>
      <c r="L95" s="15">
        <v>0.70000000000000007</v>
      </c>
      <c r="M95" s="15">
        <f t="shared" si="11"/>
        <v>9.9999999999999978E-2</v>
      </c>
      <c r="N95" s="16">
        <f t="shared" si="10"/>
        <v>1</v>
      </c>
      <c r="O95" s="54">
        <f t="shared" si="8"/>
        <v>0.15071252449259037</v>
      </c>
      <c r="P95" s="17">
        <f t="shared" si="9"/>
        <v>6.5450000000000008E-2</v>
      </c>
    </row>
    <row r="96" spans="11:16" x14ac:dyDescent="0.3">
      <c r="K96" s="14">
        <v>0.2</v>
      </c>
      <c r="L96" s="15">
        <v>0.75000000000000011</v>
      </c>
      <c r="M96" s="15">
        <f t="shared" si="11"/>
        <v>4.9999999999999933E-2</v>
      </c>
      <c r="N96" s="16">
        <f t="shared" si="10"/>
        <v>1</v>
      </c>
      <c r="O96" s="54">
        <f t="shared" si="8"/>
        <v>0.16027084878676179</v>
      </c>
      <c r="P96" s="17">
        <f t="shared" si="9"/>
        <v>6.6725000000000007E-2</v>
      </c>
    </row>
    <row r="97" spans="11:16" x14ac:dyDescent="0.3">
      <c r="K97" s="14">
        <v>0.2</v>
      </c>
      <c r="L97" s="15">
        <v>0.80000000000000016</v>
      </c>
      <c r="M97" s="15">
        <f t="shared" si="11"/>
        <v>0</v>
      </c>
      <c r="N97" s="16">
        <f t="shared" si="10"/>
        <v>1.0000000000000002</v>
      </c>
      <c r="O97" s="54">
        <f t="shared" si="8"/>
        <v>0.16999047589705377</v>
      </c>
      <c r="P97" s="17">
        <f t="shared" si="9"/>
        <v>6.8000000000000005E-2</v>
      </c>
    </row>
    <row r="98" spans="11:16" x14ac:dyDescent="0.3">
      <c r="K98" s="14">
        <v>0.25</v>
      </c>
      <c r="L98" s="15" cm="1">
        <f t="array" ref="L98:L113">_xlfn.SEQUENCE(16,,0,5%)</f>
        <v>0</v>
      </c>
      <c r="M98" s="15">
        <f t="shared" si="11"/>
        <v>0.75</v>
      </c>
      <c r="N98" s="16">
        <f t="shared" si="10"/>
        <v>1</v>
      </c>
      <c r="O98" s="54">
        <f t="shared" si="8"/>
        <v>7.5966843746624962E-2</v>
      </c>
      <c r="P98" s="17">
        <f t="shared" si="9"/>
        <v>5.1000000000000004E-2</v>
      </c>
    </row>
    <row r="99" spans="11:16" x14ac:dyDescent="0.3">
      <c r="K99" s="14">
        <v>0.25</v>
      </c>
      <c r="L99" s="15">
        <v>0.05</v>
      </c>
      <c r="M99" s="15">
        <f t="shared" si="11"/>
        <v>0.7</v>
      </c>
      <c r="N99" s="16">
        <f t="shared" si="10"/>
        <v>1</v>
      </c>
      <c r="O99" s="54">
        <f t="shared" si="8"/>
        <v>7.4786667817870051E-2</v>
      </c>
      <c r="P99" s="17">
        <f t="shared" si="9"/>
        <v>5.2275000000000002E-2</v>
      </c>
    </row>
    <row r="100" spans="11:16" x14ac:dyDescent="0.3">
      <c r="K100" s="14">
        <v>0.25</v>
      </c>
      <c r="L100" s="15">
        <v>0.1</v>
      </c>
      <c r="M100" s="15">
        <f t="shared" si="11"/>
        <v>0.65</v>
      </c>
      <c r="N100" s="16">
        <f t="shared" si="10"/>
        <v>1</v>
      </c>
      <c r="O100" s="54">
        <f t="shared" si="8"/>
        <v>7.5184220490439976E-2</v>
      </c>
      <c r="P100" s="17">
        <f t="shared" si="9"/>
        <v>5.355E-2</v>
      </c>
    </row>
    <row r="101" spans="11:16" x14ac:dyDescent="0.3">
      <c r="K101" s="14">
        <v>0.25</v>
      </c>
      <c r="L101" s="15">
        <v>0.15000000000000002</v>
      </c>
      <c r="M101" s="15">
        <f t="shared" si="11"/>
        <v>0.6</v>
      </c>
      <c r="N101" s="16">
        <f t="shared" si="10"/>
        <v>1</v>
      </c>
      <c r="O101" s="54">
        <f t="shared" si="8"/>
        <v>7.7135110884655481E-2</v>
      </c>
      <c r="P101" s="17">
        <f t="shared" si="9"/>
        <v>5.4824999999999999E-2</v>
      </c>
    </row>
    <row r="102" spans="11:16" x14ac:dyDescent="0.3">
      <c r="K102" s="14">
        <v>0.25</v>
      </c>
      <c r="L102" s="15">
        <v>0.2</v>
      </c>
      <c r="M102" s="15">
        <f t="shared" si="11"/>
        <v>0.55000000000000004</v>
      </c>
      <c r="N102" s="16">
        <f t="shared" si="10"/>
        <v>1</v>
      </c>
      <c r="O102" s="54">
        <f t="shared" si="8"/>
        <v>8.0526521374013435E-2</v>
      </c>
      <c r="P102" s="17">
        <f t="shared" si="9"/>
        <v>5.6100000000000004E-2</v>
      </c>
    </row>
    <row r="103" spans="11:16" x14ac:dyDescent="0.3">
      <c r="K103" s="14">
        <v>0.25</v>
      </c>
      <c r="L103" s="15">
        <v>0.25</v>
      </c>
      <c r="M103" s="15">
        <f t="shared" si="11"/>
        <v>0.5</v>
      </c>
      <c r="N103" s="16">
        <f t="shared" si="10"/>
        <v>1</v>
      </c>
      <c r="O103" s="54">
        <f t="shared" si="8"/>
        <v>8.5186577293545104E-2</v>
      </c>
      <c r="P103" s="17">
        <f t="shared" si="9"/>
        <v>5.7375000000000002E-2</v>
      </c>
    </row>
    <row r="104" spans="11:16" x14ac:dyDescent="0.3">
      <c r="K104" s="14">
        <v>0.25</v>
      </c>
      <c r="L104" s="15">
        <v>0.3</v>
      </c>
      <c r="M104" s="15">
        <f t="shared" si="11"/>
        <v>0.45</v>
      </c>
      <c r="N104" s="16">
        <f t="shared" si="10"/>
        <v>1</v>
      </c>
      <c r="O104" s="54">
        <f t="shared" si="8"/>
        <v>9.0920417125952363E-2</v>
      </c>
      <c r="P104" s="17">
        <f t="shared" si="9"/>
        <v>5.8650000000000001E-2</v>
      </c>
    </row>
    <row r="105" spans="11:16" x14ac:dyDescent="0.3">
      <c r="K105" s="14">
        <v>0.25</v>
      </c>
      <c r="L105" s="15">
        <v>0.35</v>
      </c>
      <c r="M105" s="15">
        <f t="shared" si="11"/>
        <v>0.4</v>
      </c>
      <c r="N105" s="16">
        <f t="shared" si="10"/>
        <v>1</v>
      </c>
      <c r="O105" s="54">
        <f t="shared" si="8"/>
        <v>9.753885657881968E-2</v>
      </c>
      <c r="P105" s="17">
        <f t="shared" si="9"/>
        <v>5.9924999999999999E-2</v>
      </c>
    </row>
    <row r="106" spans="11:16" x14ac:dyDescent="0.3">
      <c r="K106" s="14">
        <v>0.25</v>
      </c>
      <c r="L106" s="15">
        <v>0.39999999999999997</v>
      </c>
      <c r="M106" s="15">
        <f t="shared" si="11"/>
        <v>0.35000000000000003</v>
      </c>
      <c r="N106" s="16">
        <f t="shared" si="10"/>
        <v>1</v>
      </c>
      <c r="O106" s="54">
        <f t="shared" si="8"/>
        <v>0.10487455281443772</v>
      </c>
      <c r="P106" s="17">
        <f t="shared" si="9"/>
        <v>6.1199999999999997E-2</v>
      </c>
    </row>
    <row r="107" spans="11:16" x14ac:dyDescent="0.3">
      <c r="K107" s="14">
        <v>0.25</v>
      </c>
      <c r="L107" s="15">
        <v>0.44999999999999996</v>
      </c>
      <c r="M107" s="15">
        <f t="shared" si="11"/>
        <v>0.30000000000000004</v>
      </c>
      <c r="N107" s="16">
        <f t="shared" si="10"/>
        <v>1</v>
      </c>
      <c r="O107" s="54">
        <f t="shared" si="8"/>
        <v>0.11278764163830789</v>
      </c>
      <c r="P107" s="17">
        <f t="shared" si="9"/>
        <v>6.2475000000000003E-2</v>
      </c>
    </row>
    <row r="108" spans="11:16" x14ac:dyDescent="0.3">
      <c r="K108" s="14">
        <v>0.25</v>
      </c>
      <c r="L108" s="15">
        <v>0.49999999999999994</v>
      </c>
      <c r="M108" s="15">
        <f t="shared" si="11"/>
        <v>0.25000000000000006</v>
      </c>
      <c r="N108" s="16">
        <f t="shared" si="10"/>
        <v>1</v>
      </c>
      <c r="O108" s="54">
        <f t="shared" si="8"/>
        <v>0.12116505014901278</v>
      </c>
      <c r="P108" s="17">
        <f t="shared" si="9"/>
        <v>6.3750000000000001E-2</v>
      </c>
    </row>
    <row r="109" spans="11:16" x14ac:dyDescent="0.3">
      <c r="K109" s="14">
        <v>0.25</v>
      </c>
      <c r="L109" s="15">
        <v>0.54999999999999993</v>
      </c>
      <c r="M109" s="15">
        <f t="shared" si="11"/>
        <v>0.20000000000000007</v>
      </c>
      <c r="N109" s="16">
        <f t="shared" si="10"/>
        <v>1</v>
      </c>
      <c r="O109" s="54">
        <f t="shared" si="8"/>
        <v>0.12991698750306888</v>
      </c>
      <c r="P109" s="17">
        <f t="shared" si="9"/>
        <v>6.5024999999999999E-2</v>
      </c>
    </row>
    <row r="110" spans="11:16" x14ac:dyDescent="0.3">
      <c r="K110" s="14">
        <v>0.25</v>
      </c>
      <c r="L110" s="15">
        <v>0.6</v>
      </c>
      <c r="M110" s="15">
        <f t="shared" si="11"/>
        <v>0.15000000000000002</v>
      </c>
      <c r="N110" s="16">
        <f t="shared" si="10"/>
        <v>1</v>
      </c>
      <c r="O110" s="54">
        <f t="shared" si="8"/>
        <v>0.1389727127860382</v>
      </c>
      <c r="P110" s="17">
        <f t="shared" si="9"/>
        <v>6.6300000000000012E-2</v>
      </c>
    </row>
    <row r="111" spans="11:16" x14ac:dyDescent="0.3">
      <c r="K111" s="14">
        <v>0.25</v>
      </c>
      <c r="L111" s="15">
        <v>0.65</v>
      </c>
      <c r="M111" s="15">
        <f t="shared" si="11"/>
        <v>9.9999999999999978E-2</v>
      </c>
      <c r="N111" s="16">
        <f t="shared" si="10"/>
        <v>1</v>
      </c>
      <c r="O111" s="54">
        <f t="shared" si="8"/>
        <v>0.14827657653630641</v>
      </c>
      <c r="P111" s="17">
        <f t="shared" si="9"/>
        <v>6.7574999999999996E-2</v>
      </c>
    </row>
    <row r="112" spans="11:16" x14ac:dyDescent="0.3">
      <c r="K112" s="14">
        <v>0.25</v>
      </c>
      <c r="L112" s="15">
        <v>0.70000000000000007</v>
      </c>
      <c r="M112" s="15">
        <f t="shared" si="11"/>
        <v>4.9999999999999933E-2</v>
      </c>
      <c r="N112" s="16">
        <f t="shared" si="10"/>
        <v>1</v>
      </c>
      <c r="O112" s="54">
        <f t="shared" si="8"/>
        <v>0.15778468998138551</v>
      </c>
      <c r="P112" s="17">
        <f t="shared" si="9"/>
        <v>6.8849999999999995E-2</v>
      </c>
    </row>
    <row r="113" spans="11:16" x14ac:dyDescent="0.3">
      <c r="K113" s="14">
        <v>0.25</v>
      </c>
      <c r="L113" s="15">
        <v>0.75000000000000011</v>
      </c>
      <c r="M113" s="15">
        <f t="shared" si="11"/>
        <v>0</v>
      </c>
      <c r="N113" s="16">
        <f t="shared" si="10"/>
        <v>1</v>
      </c>
      <c r="O113" s="54">
        <f t="shared" si="8"/>
        <v>0.16746226628316926</v>
      </c>
      <c r="P113" s="17">
        <f t="shared" si="9"/>
        <v>7.0125000000000007E-2</v>
      </c>
    </row>
    <row r="114" spans="11:16" x14ac:dyDescent="0.3">
      <c r="K114" s="14">
        <v>0.3</v>
      </c>
      <c r="L114" s="15" cm="1">
        <f t="array" ref="L114:L128">_xlfn.SEQUENCE(15,,0,5%)</f>
        <v>0</v>
      </c>
      <c r="M114" s="15">
        <f t="shared" si="11"/>
        <v>0.7</v>
      </c>
      <c r="N114" s="16">
        <f t="shared" si="10"/>
        <v>1</v>
      </c>
      <c r="O114" s="54">
        <f t="shared" si="8"/>
        <v>7.537627433231224E-2</v>
      </c>
      <c r="P114" s="17">
        <f t="shared" si="9"/>
        <v>5.4399999999999997E-2</v>
      </c>
    </row>
    <row r="115" spans="11:16" x14ac:dyDescent="0.3">
      <c r="K115" s="14">
        <v>0.3</v>
      </c>
      <c r="L115" s="15">
        <v>0.05</v>
      </c>
      <c r="M115" s="15">
        <f t="shared" si="11"/>
        <v>0.64999999999999991</v>
      </c>
      <c r="N115" s="16">
        <f t="shared" si="10"/>
        <v>0.99999999999999989</v>
      </c>
      <c r="O115" s="54">
        <f t="shared" si="8"/>
        <v>7.5357742607976549E-2</v>
      </c>
      <c r="P115" s="17">
        <f t="shared" si="9"/>
        <v>5.5674999999999988E-2</v>
      </c>
    </row>
    <row r="116" spans="11:16" x14ac:dyDescent="0.3">
      <c r="K116" s="14">
        <v>0.3</v>
      </c>
      <c r="L116" s="15">
        <v>0.1</v>
      </c>
      <c r="M116" s="15">
        <f t="shared" si="11"/>
        <v>0.6</v>
      </c>
      <c r="N116" s="16">
        <f t="shared" si="10"/>
        <v>1</v>
      </c>
      <c r="O116" s="54">
        <f t="shared" si="8"/>
        <v>7.689949936572045E-2</v>
      </c>
      <c r="P116" s="17">
        <f t="shared" si="9"/>
        <v>5.6950000000000001E-2</v>
      </c>
    </row>
    <row r="117" spans="11:16" x14ac:dyDescent="0.3">
      <c r="K117" s="14">
        <v>0.3</v>
      </c>
      <c r="L117" s="15">
        <v>0.15000000000000002</v>
      </c>
      <c r="M117" s="15">
        <f t="shared" si="11"/>
        <v>0.54999999999999993</v>
      </c>
      <c r="N117" s="16">
        <f t="shared" si="10"/>
        <v>1</v>
      </c>
      <c r="O117" s="54">
        <f t="shared" si="8"/>
        <v>7.9911285982676966E-2</v>
      </c>
      <c r="P117" s="17">
        <f t="shared" si="9"/>
        <v>5.8224999999999999E-2</v>
      </c>
    </row>
    <row r="118" spans="11:16" x14ac:dyDescent="0.3">
      <c r="K118" s="14">
        <v>0.3</v>
      </c>
      <c r="L118" s="15">
        <v>0.2</v>
      </c>
      <c r="M118" s="15">
        <f t="shared" si="11"/>
        <v>0.49999999999999994</v>
      </c>
      <c r="N118" s="16">
        <f t="shared" si="10"/>
        <v>1</v>
      </c>
      <c r="O118" s="54">
        <f t="shared" si="8"/>
        <v>8.4235569951714995E-2</v>
      </c>
      <c r="P118" s="17">
        <f t="shared" si="9"/>
        <v>5.9499999999999997E-2</v>
      </c>
    </row>
    <row r="119" spans="11:16" x14ac:dyDescent="0.3">
      <c r="K119" s="14">
        <v>0.3</v>
      </c>
      <c r="L119" s="15">
        <v>0.25</v>
      </c>
      <c r="M119" s="15">
        <f t="shared" si="11"/>
        <v>0.44999999999999996</v>
      </c>
      <c r="N119" s="16">
        <f t="shared" si="10"/>
        <v>1</v>
      </c>
      <c r="O119" s="54">
        <f t="shared" si="8"/>
        <v>8.9682695408611041E-2</v>
      </c>
      <c r="P119" s="17">
        <f t="shared" si="9"/>
        <v>6.0774999999999996E-2</v>
      </c>
    </row>
    <row r="120" spans="11:16" x14ac:dyDescent="0.3">
      <c r="K120" s="14">
        <v>0.3</v>
      </c>
      <c r="L120" s="15">
        <v>0.3</v>
      </c>
      <c r="M120" s="15">
        <f t="shared" si="11"/>
        <v>0.39999999999999997</v>
      </c>
      <c r="N120" s="16">
        <f t="shared" si="10"/>
        <v>1</v>
      </c>
      <c r="O120" s="54">
        <f t="shared" si="8"/>
        <v>9.6061841848860477E-2</v>
      </c>
      <c r="P120" s="17">
        <f t="shared" si="9"/>
        <v>6.2049999999999994E-2</v>
      </c>
    </row>
    <row r="121" spans="11:16" x14ac:dyDescent="0.3">
      <c r="K121" s="14">
        <v>0.3</v>
      </c>
      <c r="L121" s="15">
        <v>0.35</v>
      </c>
      <c r="M121" s="15">
        <f t="shared" si="11"/>
        <v>0.35</v>
      </c>
      <c r="N121" s="16">
        <f t="shared" si="10"/>
        <v>0.99999999999999989</v>
      </c>
      <c r="O121" s="54">
        <f t="shared" si="8"/>
        <v>0.10320032003833908</v>
      </c>
      <c r="P121" s="17">
        <f t="shared" si="9"/>
        <v>6.3324999999999992E-2</v>
      </c>
    </row>
    <row r="122" spans="11:16" x14ac:dyDescent="0.3">
      <c r="K122" s="14">
        <v>0.3</v>
      </c>
      <c r="L122" s="15">
        <v>0.39999999999999997</v>
      </c>
      <c r="M122" s="15">
        <f t="shared" si="11"/>
        <v>0.3</v>
      </c>
      <c r="N122" s="16">
        <f t="shared" si="10"/>
        <v>1</v>
      </c>
      <c r="O122" s="54">
        <f t="shared" si="8"/>
        <v>0.11095166355496469</v>
      </c>
      <c r="P122" s="17">
        <f t="shared" si="9"/>
        <v>6.4599999999999991E-2</v>
      </c>
    </row>
    <row r="123" spans="11:16" x14ac:dyDescent="0.3">
      <c r="K123" s="14">
        <v>0.3</v>
      </c>
      <c r="L123" s="15">
        <v>0.44999999999999996</v>
      </c>
      <c r="M123" s="15">
        <f t="shared" si="11"/>
        <v>0.25</v>
      </c>
      <c r="N123" s="16">
        <f t="shared" si="10"/>
        <v>1</v>
      </c>
      <c r="O123" s="54">
        <f t="shared" si="8"/>
        <v>0.11919636835151856</v>
      </c>
      <c r="P123" s="17">
        <f t="shared" si="9"/>
        <v>6.5874999999999989E-2</v>
      </c>
    </row>
    <row r="124" spans="11:16" x14ac:dyDescent="0.3">
      <c r="K124" s="14">
        <v>0.3</v>
      </c>
      <c r="L124" s="15">
        <v>0.49999999999999994</v>
      </c>
      <c r="M124" s="15">
        <f t="shared" si="11"/>
        <v>0.2</v>
      </c>
      <c r="N124" s="16">
        <f t="shared" si="10"/>
        <v>1</v>
      </c>
      <c r="O124" s="54">
        <f t="shared" si="8"/>
        <v>0.12783901518607713</v>
      </c>
      <c r="P124" s="17">
        <f t="shared" si="9"/>
        <v>6.7149999999999987E-2</v>
      </c>
    </row>
    <row r="125" spans="11:16" x14ac:dyDescent="0.3">
      <c r="K125" s="14">
        <v>0.3</v>
      </c>
      <c r="L125" s="15">
        <v>0.54999999999999993</v>
      </c>
      <c r="M125" s="15">
        <f t="shared" si="11"/>
        <v>0.15000000000000002</v>
      </c>
      <c r="N125" s="16">
        <f t="shared" si="10"/>
        <v>0.99999999999999989</v>
      </c>
      <c r="O125" s="54">
        <f t="shared" si="8"/>
        <v>0.13680420451243291</v>
      </c>
      <c r="P125" s="17">
        <f t="shared" si="9"/>
        <v>6.8425E-2</v>
      </c>
    </row>
    <row r="126" spans="11:16" x14ac:dyDescent="0.3">
      <c r="K126" s="14">
        <v>0.3</v>
      </c>
      <c r="L126" s="15">
        <v>0.6</v>
      </c>
      <c r="M126" s="15">
        <f t="shared" si="11"/>
        <v>9.9999999999999978E-2</v>
      </c>
      <c r="N126" s="16">
        <f t="shared" si="10"/>
        <v>0.99999999999999989</v>
      </c>
      <c r="O126" s="54">
        <f t="shared" si="8"/>
        <v>0.14603254409134775</v>
      </c>
      <c r="P126" s="17">
        <f t="shared" si="9"/>
        <v>6.9699999999999998E-2</v>
      </c>
    </row>
    <row r="127" spans="11:16" x14ac:dyDescent="0.3">
      <c r="K127" s="14">
        <v>0.3</v>
      </c>
      <c r="L127" s="15">
        <v>0.65</v>
      </c>
      <c r="M127" s="15">
        <f t="shared" si="11"/>
        <v>4.9999999999999933E-2</v>
      </c>
      <c r="N127" s="16">
        <f t="shared" si="10"/>
        <v>0.99999999999999989</v>
      </c>
      <c r="O127" s="54">
        <f t="shared" si="8"/>
        <v>0.15547718317580117</v>
      </c>
      <c r="P127" s="17">
        <f t="shared" si="9"/>
        <v>7.0974999999999996E-2</v>
      </c>
    </row>
    <row r="128" spans="11:16" x14ac:dyDescent="0.3">
      <c r="K128" s="14">
        <v>0.3</v>
      </c>
      <c r="L128" s="15">
        <v>0.70000000000000007</v>
      </c>
      <c r="M128" s="15">
        <f t="shared" si="11"/>
        <v>0</v>
      </c>
      <c r="N128" s="16">
        <f t="shared" si="10"/>
        <v>1</v>
      </c>
      <c r="O128" s="54">
        <f t="shared" si="8"/>
        <v>0.16510100555644772</v>
      </c>
      <c r="P128" s="17">
        <f t="shared" si="9"/>
        <v>7.2250000000000009E-2</v>
      </c>
    </row>
    <row r="129" spans="11:16" x14ac:dyDescent="0.3">
      <c r="K129" s="14">
        <v>0.35</v>
      </c>
      <c r="L129" s="15" cm="1">
        <f t="array" ref="L129:L142">_xlfn.SEQUENCE(14,,0,5%)</f>
        <v>0</v>
      </c>
      <c r="M129" s="15">
        <f t="shared" si="11"/>
        <v>0.65</v>
      </c>
      <c r="N129" s="16">
        <f t="shared" si="10"/>
        <v>1</v>
      </c>
      <c r="O129" s="54">
        <f t="shared" si="8"/>
        <v>7.5978907633973067E-2</v>
      </c>
      <c r="P129" s="17">
        <f t="shared" si="9"/>
        <v>5.7799999999999997E-2</v>
      </c>
    </row>
    <row r="130" spans="11:16" x14ac:dyDescent="0.3">
      <c r="K130" s="14">
        <v>0.35</v>
      </c>
      <c r="L130" s="15">
        <v>0.05</v>
      </c>
      <c r="M130" s="15">
        <f t="shared" si="11"/>
        <v>0.6</v>
      </c>
      <c r="N130" s="16">
        <f t="shared" si="10"/>
        <v>1</v>
      </c>
      <c r="O130" s="54">
        <f t="shared" si="8"/>
        <v>7.7104625984927788E-2</v>
      </c>
      <c r="P130" s="17">
        <f t="shared" si="9"/>
        <v>5.9074999999999996E-2</v>
      </c>
    </row>
    <row r="131" spans="11:16" x14ac:dyDescent="0.3">
      <c r="K131" s="14">
        <v>0.35</v>
      </c>
      <c r="L131" s="15">
        <v>0.1</v>
      </c>
      <c r="M131" s="15">
        <f t="shared" si="11"/>
        <v>0.55000000000000004</v>
      </c>
      <c r="N131" s="16">
        <f t="shared" si="10"/>
        <v>1</v>
      </c>
      <c r="O131" s="54">
        <f t="shared" ref="O131:O194" si="12">SQRT(K131^2*$G$4^2 + L131^2*$H$4^2 + M131^2*$I$4^2 + 2*K131*L131*$G$10*$G$4*$H$4 + 2*L131*M131*$G$12*$H$4*$I$4 + 2*K131*M131*$G$11*$G$4*$I$4)</f>
        <v>7.9718186659492818E-2</v>
      </c>
      <c r="P131" s="17">
        <f t="shared" ref="P131:P194" si="13">K131*$G$7 + L131*$H$7 + M131*$I$7</f>
        <v>6.0349999999999994E-2</v>
      </c>
    </row>
    <row r="132" spans="11:16" x14ac:dyDescent="0.3">
      <c r="K132" s="14">
        <v>0.35</v>
      </c>
      <c r="L132" s="15">
        <v>0.15000000000000002</v>
      </c>
      <c r="M132" s="15">
        <f t="shared" si="11"/>
        <v>0.5</v>
      </c>
      <c r="N132" s="16">
        <f t="shared" ref="N132:N195" si="14">SUM(K132:M132)</f>
        <v>1</v>
      </c>
      <c r="O132" s="54">
        <f t="shared" si="12"/>
        <v>8.3680297640831944E-2</v>
      </c>
      <c r="P132" s="17">
        <f t="shared" si="13"/>
        <v>6.1624999999999999E-2</v>
      </c>
    </row>
    <row r="133" spans="11:16" x14ac:dyDescent="0.3">
      <c r="K133" s="14">
        <v>0.35</v>
      </c>
      <c r="L133" s="15">
        <v>0.2</v>
      </c>
      <c r="M133" s="15">
        <f t="shared" si="11"/>
        <v>0.45</v>
      </c>
      <c r="N133" s="16">
        <f t="shared" si="14"/>
        <v>1</v>
      </c>
      <c r="O133" s="54">
        <f t="shared" si="12"/>
        <v>8.8810653275477325E-2</v>
      </c>
      <c r="P133" s="17">
        <f t="shared" si="13"/>
        <v>6.2899999999999998E-2</v>
      </c>
    </row>
    <row r="134" spans="11:16" x14ac:dyDescent="0.3">
      <c r="K134" s="14">
        <v>0.35</v>
      </c>
      <c r="L134" s="15">
        <v>0.25</v>
      </c>
      <c r="M134" s="15">
        <f t="shared" si="11"/>
        <v>0.4</v>
      </c>
      <c r="N134" s="16">
        <f t="shared" si="14"/>
        <v>1</v>
      </c>
      <c r="O134" s="54">
        <f t="shared" si="12"/>
        <v>9.4920013959934851E-2</v>
      </c>
      <c r="P134" s="17">
        <f t="shared" si="13"/>
        <v>6.4174999999999996E-2</v>
      </c>
    </row>
    <row r="135" spans="11:16" x14ac:dyDescent="0.3">
      <c r="K135" s="14">
        <v>0.35</v>
      </c>
      <c r="L135" s="15">
        <v>0.3</v>
      </c>
      <c r="M135" s="15">
        <f t="shared" si="11"/>
        <v>0.35000000000000003</v>
      </c>
      <c r="N135" s="16">
        <f t="shared" si="14"/>
        <v>1</v>
      </c>
      <c r="O135" s="54">
        <f t="shared" si="12"/>
        <v>0.10183232766695333</v>
      </c>
      <c r="P135" s="17">
        <f t="shared" si="13"/>
        <v>6.5450000000000008E-2</v>
      </c>
    </row>
    <row r="136" spans="11:16" x14ac:dyDescent="0.3">
      <c r="K136" s="14">
        <v>0.35</v>
      </c>
      <c r="L136" s="15">
        <v>0.35</v>
      </c>
      <c r="M136" s="15">
        <f t="shared" si="11"/>
        <v>0.30000000000000004</v>
      </c>
      <c r="N136" s="16">
        <f t="shared" si="14"/>
        <v>1</v>
      </c>
      <c r="O136" s="54">
        <f t="shared" si="12"/>
        <v>0.10939549286402807</v>
      </c>
      <c r="P136" s="17">
        <f t="shared" si="13"/>
        <v>6.6724999999999993E-2</v>
      </c>
    </row>
    <row r="137" spans="11:16" x14ac:dyDescent="0.3">
      <c r="K137" s="14">
        <v>0.35</v>
      </c>
      <c r="L137" s="15">
        <v>0.39999999999999997</v>
      </c>
      <c r="M137" s="15">
        <f t="shared" si="11"/>
        <v>0.25000000000000006</v>
      </c>
      <c r="N137" s="16">
        <f t="shared" si="14"/>
        <v>1</v>
      </c>
      <c r="O137" s="54">
        <f t="shared" si="12"/>
        <v>0.11748387869335872</v>
      </c>
      <c r="P137" s="17">
        <f t="shared" si="13"/>
        <v>6.8000000000000005E-2</v>
      </c>
    </row>
    <row r="138" spans="11:16" x14ac:dyDescent="0.3">
      <c r="K138" s="14">
        <v>0.35</v>
      </c>
      <c r="L138" s="15">
        <v>0.44999999999999996</v>
      </c>
      <c r="M138" s="15">
        <f t="shared" si="11"/>
        <v>0.20000000000000007</v>
      </c>
      <c r="N138" s="16">
        <f t="shared" si="14"/>
        <v>1</v>
      </c>
      <c r="O138" s="54">
        <f t="shared" si="12"/>
        <v>0.12599637550218015</v>
      </c>
      <c r="P138" s="17">
        <f t="shared" si="13"/>
        <v>6.9275000000000003E-2</v>
      </c>
    </row>
    <row r="139" spans="11:16" x14ac:dyDescent="0.3">
      <c r="K139" s="14">
        <v>0.35</v>
      </c>
      <c r="L139" s="15">
        <v>0.49999999999999994</v>
      </c>
      <c r="M139" s="15">
        <f t="shared" si="11"/>
        <v>0.15000000000000008</v>
      </c>
      <c r="N139" s="16">
        <f t="shared" si="14"/>
        <v>1</v>
      </c>
      <c r="O139" s="54">
        <f t="shared" si="12"/>
        <v>0.13485269192535715</v>
      </c>
      <c r="P139" s="17">
        <f t="shared" si="13"/>
        <v>7.0550000000000002E-2</v>
      </c>
    </row>
    <row r="140" spans="11:16" x14ac:dyDescent="0.3">
      <c r="K140" s="14">
        <v>0.35</v>
      </c>
      <c r="L140" s="15">
        <v>0.54999999999999993</v>
      </c>
      <c r="M140" s="15">
        <f t="shared" si="11"/>
        <v>0.10000000000000009</v>
      </c>
      <c r="N140" s="16">
        <f t="shared" si="14"/>
        <v>1</v>
      </c>
      <c r="O140" s="54">
        <f t="shared" si="12"/>
        <v>0.14398940027766813</v>
      </c>
      <c r="P140" s="17">
        <f t="shared" si="13"/>
        <v>7.1824999999999986E-2</v>
      </c>
    </row>
    <row r="141" spans="11:16" x14ac:dyDescent="0.3">
      <c r="K141" s="14">
        <v>0.35</v>
      </c>
      <c r="L141" s="15">
        <v>0.6</v>
      </c>
      <c r="M141" s="15">
        <f t="shared" si="11"/>
        <v>5.0000000000000044E-2</v>
      </c>
      <c r="N141" s="16">
        <f t="shared" si="14"/>
        <v>1</v>
      </c>
      <c r="O141" s="54">
        <f t="shared" si="12"/>
        <v>0.15335639294828285</v>
      </c>
      <c r="P141" s="17">
        <f t="shared" si="13"/>
        <v>7.3099999999999998E-2</v>
      </c>
    </row>
    <row r="142" spans="11:16" x14ac:dyDescent="0.3">
      <c r="K142" s="14">
        <v>0.35</v>
      </c>
      <c r="L142" s="15">
        <v>0.65</v>
      </c>
      <c r="M142" s="15">
        <f t="shared" si="11"/>
        <v>0</v>
      </c>
      <c r="N142" s="16">
        <f t="shared" si="14"/>
        <v>1</v>
      </c>
      <c r="O142" s="54">
        <f t="shared" si="12"/>
        <v>0.16291395310676149</v>
      </c>
      <c r="P142" s="17">
        <f t="shared" si="13"/>
        <v>7.4374999999999997E-2</v>
      </c>
    </row>
    <row r="143" spans="11:16" x14ac:dyDescent="0.3">
      <c r="K143" s="14">
        <v>0.4</v>
      </c>
      <c r="L143" s="15" cm="1">
        <f t="array" ref="L143:L155">_xlfn.SEQUENCE(13,,0,5%)</f>
        <v>0</v>
      </c>
      <c r="M143" s="15">
        <f t="shared" si="11"/>
        <v>0.6</v>
      </c>
      <c r="N143" s="16">
        <f t="shared" si="14"/>
        <v>1</v>
      </c>
      <c r="O143" s="54">
        <f t="shared" si="12"/>
        <v>7.7747002308253529E-2</v>
      </c>
      <c r="P143" s="17">
        <f t="shared" si="13"/>
        <v>6.1200000000000004E-2</v>
      </c>
    </row>
    <row r="144" spans="11:16" x14ac:dyDescent="0.3">
      <c r="K144" s="14">
        <v>0.4</v>
      </c>
      <c r="L144" s="15">
        <v>0.05</v>
      </c>
      <c r="M144" s="15">
        <f t="shared" si="11"/>
        <v>0.54999999999999993</v>
      </c>
      <c r="N144" s="16">
        <f t="shared" si="14"/>
        <v>1</v>
      </c>
      <c r="O144" s="54">
        <f t="shared" si="12"/>
        <v>7.9950282145950638E-2</v>
      </c>
      <c r="P144" s="17">
        <f t="shared" si="13"/>
        <v>6.2475000000000003E-2</v>
      </c>
    </row>
    <row r="145" spans="11:16" x14ac:dyDescent="0.3">
      <c r="K145" s="14">
        <v>0.4</v>
      </c>
      <c r="L145" s="15">
        <v>0.1</v>
      </c>
      <c r="M145" s="15">
        <f t="shared" ref="M145:M208" si="15">1-K145-L145</f>
        <v>0.5</v>
      </c>
      <c r="N145" s="16">
        <f t="shared" si="14"/>
        <v>1</v>
      </c>
      <c r="O145" s="54">
        <f t="shared" si="12"/>
        <v>8.3528652901223008E-2</v>
      </c>
      <c r="P145" s="17">
        <f t="shared" si="13"/>
        <v>6.3750000000000001E-2</v>
      </c>
    </row>
    <row r="146" spans="11:16" x14ac:dyDescent="0.3">
      <c r="K146" s="14">
        <v>0.4</v>
      </c>
      <c r="L146" s="15">
        <v>0.15000000000000002</v>
      </c>
      <c r="M146" s="15">
        <f t="shared" si="15"/>
        <v>0.44999999999999996</v>
      </c>
      <c r="N146" s="16">
        <f t="shared" si="14"/>
        <v>1</v>
      </c>
      <c r="O146" s="54">
        <f t="shared" si="12"/>
        <v>8.8315123782663721E-2</v>
      </c>
      <c r="P146" s="17">
        <f t="shared" si="13"/>
        <v>6.5024999999999999E-2</v>
      </c>
    </row>
    <row r="147" spans="11:16" x14ac:dyDescent="0.3">
      <c r="K147" s="14">
        <v>0.4</v>
      </c>
      <c r="L147" s="15">
        <v>0.2</v>
      </c>
      <c r="M147" s="15">
        <f t="shared" si="15"/>
        <v>0.39999999999999997</v>
      </c>
      <c r="N147" s="16">
        <f t="shared" si="14"/>
        <v>1</v>
      </c>
      <c r="O147" s="54">
        <f t="shared" si="12"/>
        <v>9.4125572056587184E-2</v>
      </c>
      <c r="P147" s="17">
        <f t="shared" si="13"/>
        <v>6.6299999999999998E-2</v>
      </c>
    </row>
    <row r="148" spans="11:16" x14ac:dyDescent="0.3">
      <c r="K148" s="14">
        <v>0.4</v>
      </c>
      <c r="L148" s="15">
        <v>0.25</v>
      </c>
      <c r="M148" s="15">
        <f t="shared" si="15"/>
        <v>0.35</v>
      </c>
      <c r="N148" s="16">
        <f t="shared" si="14"/>
        <v>1</v>
      </c>
      <c r="O148" s="54">
        <f t="shared" si="12"/>
        <v>0.10078304685903627</v>
      </c>
      <c r="P148" s="17">
        <f t="shared" si="13"/>
        <v>6.7574999999999996E-2</v>
      </c>
    </row>
    <row r="149" spans="11:16" x14ac:dyDescent="0.3">
      <c r="K149" s="14">
        <v>0.4</v>
      </c>
      <c r="L149" s="15">
        <v>0.3</v>
      </c>
      <c r="M149" s="15">
        <f t="shared" si="15"/>
        <v>0.3</v>
      </c>
      <c r="N149" s="16">
        <f t="shared" si="14"/>
        <v>1</v>
      </c>
      <c r="O149" s="54">
        <f t="shared" si="12"/>
        <v>0.10813121078754258</v>
      </c>
      <c r="P149" s="17">
        <f t="shared" si="13"/>
        <v>6.8850000000000008E-2</v>
      </c>
    </row>
    <row r="150" spans="11:16" x14ac:dyDescent="0.3">
      <c r="K150" s="14">
        <v>0.4</v>
      </c>
      <c r="L150" s="15">
        <v>0.35</v>
      </c>
      <c r="M150" s="15">
        <f t="shared" si="15"/>
        <v>0.25</v>
      </c>
      <c r="N150" s="16">
        <f t="shared" si="14"/>
        <v>1</v>
      </c>
      <c r="O150" s="54">
        <f t="shared" si="12"/>
        <v>0.11603892429502943</v>
      </c>
      <c r="P150" s="17">
        <f t="shared" si="13"/>
        <v>7.0124999999999993E-2</v>
      </c>
    </row>
    <row r="151" spans="11:16" x14ac:dyDescent="0.3">
      <c r="K151" s="14">
        <v>0.4</v>
      </c>
      <c r="L151" s="15">
        <v>0.39999999999999997</v>
      </c>
      <c r="M151" s="15">
        <f t="shared" si="15"/>
        <v>0.2</v>
      </c>
      <c r="N151" s="16">
        <f t="shared" si="14"/>
        <v>1</v>
      </c>
      <c r="O151" s="54">
        <f t="shared" si="12"/>
        <v>0.12439952632423294</v>
      </c>
      <c r="P151" s="17">
        <f t="shared" si="13"/>
        <v>7.1400000000000005E-2</v>
      </c>
    </row>
    <row r="152" spans="11:16" x14ac:dyDescent="0.3">
      <c r="K152" s="14">
        <v>0.4</v>
      </c>
      <c r="L152" s="15">
        <v>0.44999999999999996</v>
      </c>
      <c r="M152" s="15">
        <f t="shared" si="15"/>
        <v>0.15000000000000002</v>
      </c>
      <c r="N152" s="16">
        <f t="shared" si="14"/>
        <v>1</v>
      </c>
      <c r="O152" s="54">
        <f t="shared" si="12"/>
        <v>0.1331277181537257</v>
      </c>
      <c r="P152" s="17">
        <f t="shared" si="13"/>
        <v>7.2675000000000003E-2</v>
      </c>
    </row>
    <row r="153" spans="11:16" x14ac:dyDescent="0.3">
      <c r="K153" s="14">
        <v>0.4</v>
      </c>
      <c r="L153" s="15">
        <v>0.49999999999999994</v>
      </c>
      <c r="M153" s="15">
        <f t="shared" si="15"/>
        <v>0.10000000000000003</v>
      </c>
      <c r="N153" s="16">
        <f t="shared" si="14"/>
        <v>1</v>
      </c>
      <c r="O153" s="54">
        <f t="shared" si="12"/>
        <v>0.14215580721490231</v>
      </c>
      <c r="P153" s="17">
        <f t="shared" si="13"/>
        <v>7.3950000000000002E-2</v>
      </c>
    </row>
    <row r="154" spans="11:16" x14ac:dyDescent="0.3">
      <c r="K154" s="14">
        <v>0.4</v>
      </c>
      <c r="L154" s="15">
        <v>0.54999999999999993</v>
      </c>
      <c r="M154" s="15">
        <f t="shared" si="15"/>
        <v>5.0000000000000044E-2</v>
      </c>
      <c r="N154" s="16">
        <f t="shared" si="14"/>
        <v>1</v>
      </c>
      <c r="O154" s="54">
        <f t="shared" si="12"/>
        <v>0.15143016443893029</v>
      </c>
      <c r="P154" s="17">
        <f t="shared" si="13"/>
        <v>7.5225000000000014E-2</v>
      </c>
    </row>
    <row r="155" spans="11:16" x14ac:dyDescent="0.3">
      <c r="K155" s="14">
        <v>0.4</v>
      </c>
      <c r="L155" s="15">
        <v>0.6</v>
      </c>
      <c r="M155" s="15">
        <f t="shared" si="15"/>
        <v>0</v>
      </c>
      <c r="N155" s="16">
        <f t="shared" si="14"/>
        <v>1</v>
      </c>
      <c r="O155" s="54">
        <f t="shared" si="12"/>
        <v>0.16090821256872131</v>
      </c>
      <c r="P155" s="17">
        <f t="shared" si="13"/>
        <v>7.6500000000000012E-2</v>
      </c>
    </row>
    <row r="156" spans="11:16" x14ac:dyDescent="0.3">
      <c r="K156" s="14">
        <v>0.45</v>
      </c>
      <c r="L156" s="15" cm="1">
        <f t="array" ref="L156:L167">_xlfn.SEQUENCE(12,,0,5%)</f>
        <v>0</v>
      </c>
      <c r="M156" s="15">
        <f t="shared" si="15"/>
        <v>0.55000000000000004</v>
      </c>
      <c r="N156" s="16">
        <f t="shared" si="14"/>
        <v>1</v>
      </c>
      <c r="O156" s="54">
        <f t="shared" si="12"/>
        <v>8.0603899534844467E-2</v>
      </c>
      <c r="P156" s="17">
        <f t="shared" si="13"/>
        <v>6.4599999999999991E-2</v>
      </c>
    </row>
    <row r="157" spans="11:16" x14ac:dyDescent="0.3">
      <c r="K157" s="14">
        <v>0.45</v>
      </c>
      <c r="L157" s="15">
        <v>0.05</v>
      </c>
      <c r="M157" s="15">
        <f t="shared" si="15"/>
        <v>0.5</v>
      </c>
      <c r="N157" s="16">
        <f t="shared" si="14"/>
        <v>1</v>
      </c>
      <c r="O157" s="54">
        <f t="shared" si="12"/>
        <v>8.3782827427788406E-2</v>
      </c>
      <c r="P157" s="17">
        <f t="shared" si="13"/>
        <v>6.5874999999999989E-2</v>
      </c>
    </row>
    <row r="158" spans="11:16" x14ac:dyDescent="0.3">
      <c r="K158" s="14">
        <v>0.45</v>
      </c>
      <c r="L158" s="15">
        <v>0.1</v>
      </c>
      <c r="M158" s="15">
        <f t="shared" si="15"/>
        <v>0.45000000000000007</v>
      </c>
      <c r="N158" s="16">
        <f t="shared" si="14"/>
        <v>1</v>
      </c>
      <c r="O158" s="54">
        <f t="shared" si="12"/>
        <v>8.820245300638864E-2</v>
      </c>
      <c r="P158" s="17">
        <f t="shared" si="13"/>
        <v>6.7150000000000001E-2</v>
      </c>
    </row>
    <row r="159" spans="11:16" x14ac:dyDescent="0.3">
      <c r="K159" s="14">
        <v>0.45</v>
      </c>
      <c r="L159" s="15">
        <v>0.15000000000000002</v>
      </c>
      <c r="M159" s="15">
        <f t="shared" si="15"/>
        <v>0.4</v>
      </c>
      <c r="N159" s="16">
        <f t="shared" si="14"/>
        <v>1</v>
      </c>
      <c r="O159" s="54">
        <f t="shared" si="12"/>
        <v>9.3687353756375047E-2</v>
      </c>
      <c r="P159" s="17">
        <f t="shared" si="13"/>
        <v>6.8425E-2</v>
      </c>
    </row>
    <row r="160" spans="11:16" x14ac:dyDescent="0.3">
      <c r="K160" s="14">
        <v>0.45</v>
      </c>
      <c r="L160" s="15">
        <v>0.2</v>
      </c>
      <c r="M160" s="15">
        <f t="shared" si="15"/>
        <v>0.35000000000000003</v>
      </c>
      <c r="N160" s="16">
        <f t="shared" si="14"/>
        <v>1</v>
      </c>
      <c r="O160" s="54">
        <f t="shared" si="12"/>
        <v>0.10006250438789982</v>
      </c>
      <c r="P160" s="17">
        <f t="shared" si="13"/>
        <v>6.9699999999999998E-2</v>
      </c>
    </row>
    <row r="161" spans="11:16" x14ac:dyDescent="0.3">
      <c r="K161" s="14">
        <v>0.45</v>
      </c>
      <c r="L161" s="15">
        <v>0.25</v>
      </c>
      <c r="M161" s="15">
        <f t="shared" si="15"/>
        <v>0.30000000000000004</v>
      </c>
      <c r="N161" s="16">
        <f t="shared" si="14"/>
        <v>1</v>
      </c>
      <c r="O161" s="54">
        <f t="shared" si="12"/>
        <v>0.10716914811578529</v>
      </c>
      <c r="P161" s="17">
        <f t="shared" si="13"/>
        <v>7.0974999999999996E-2</v>
      </c>
    </row>
    <row r="162" spans="11:16" x14ac:dyDescent="0.3">
      <c r="K162" s="14">
        <v>0.45</v>
      </c>
      <c r="L162" s="15">
        <v>0.3</v>
      </c>
      <c r="M162" s="15">
        <f t="shared" si="15"/>
        <v>0.25000000000000006</v>
      </c>
      <c r="N162" s="16">
        <f t="shared" si="14"/>
        <v>1</v>
      </c>
      <c r="O162" s="54">
        <f t="shared" si="12"/>
        <v>0.11487160147018989</v>
      </c>
      <c r="P162" s="17">
        <f t="shared" si="13"/>
        <v>7.2250000000000009E-2</v>
      </c>
    </row>
    <row r="163" spans="11:16" x14ac:dyDescent="0.3">
      <c r="K163" s="14">
        <v>0.45</v>
      </c>
      <c r="L163" s="15">
        <v>0.35</v>
      </c>
      <c r="M163" s="15">
        <f t="shared" si="15"/>
        <v>0.20000000000000007</v>
      </c>
      <c r="N163" s="16">
        <f t="shared" si="14"/>
        <v>1</v>
      </c>
      <c r="O163" s="54">
        <f t="shared" si="12"/>
        <v>0.12305803644527846</v>
      </c>
      <c r="P163" s="17">
        <f t="shared" si="13"/>
        <v>7.3524999999999993E-2</v>
      </c>
    </row>
    <row r="164" spans="11:16" x14ac:dyDescent="0.3">
      <c r="K164" s="14">
        <v>0.45</v>
      </c>
      <c r="L164" s="15">
        <v>0.39999999999999997</v>
      </c>
      <c r="M164" s="15">
        <f t="shared" si="15"/>
        <v>0.15000000000000008</v>
      </c>
      <c r="N164" s="16">
        <f t="shared" si="14"/>
        <v>1</v>
      </c>
      <c r="O164" s="54">
        <f t="shared" si="12"/>
        <v>0.1316381891252959</v>
      </c>
      <c r="P164" s="17">
        <f t="shared" si="13"/>
        <v>7.4800000000000005E-2</v>
      </c>
    </row>
    <row r="165" spans="11:16" x14ac:dyDescent="0.3">
      <c r="K165" s="14">
        <v>0.45</v>
      </c>
      <c r="L165" s="15">
        <v>0.44999999999999996</v>
      </c>
      <c r="M165" s="15">
        <f t="shared" si="15"/>
        <v>0.10000000000000009</v>
      </c>
      <c r="N165" s="16">
        <f t="shared" si="14"/>
        <v>1</v>
      </c>
      <c r="O165" s="54">
        <f t="shared" si="12"/>
        <v>0.14053996702570135</v>
      </c>
      <c r="P165" s="17">
        <f t="shared" si="13"/>
        <v>7.607499999999999E-2</v>
      </c>
    </row>
    <row r="166" spans="11:16" x14ac:dyDescent="0.3">
      <c r="K166" s="14">
        <v>0.45</v>
      </c>
      <c r="L166" s="15">
        <v>0.49999999999999994</v>
      </c>
      <c r="M166" s="15">
        <f t="shared" si="15"/>
        <v>5.00000000000001E-2</v>
      </c>
      <c r="N166" s="16">
        <f t="shared" si="14"/>
        <v>1</v>
      </c>
      <c r="O166" s="54">
        <f t="shared" si="12"/>
        <v>0.14970600796214428</v>
      </c>
      <c r="P166" s="17">
        <f t="shared" si="13"/>
        <v>7.7350000000000002E-2</v>
      </c>
    </row>
    <row r="167" spans="11:16" x14ac:dyDescent="0.3">
      <c r="K167" s="14">
        <v>0.45</v>
      </c>
      <c r="L167" s="15">
        <v>0.54999999999999993</v>
      </c>
      <c r="M167" s="15">
        <f t="shared" si="15"/>
        <v>0</v>
      </c>
      <c r="N167" s="16">
        <f t="shared" si="14"/>
        <v>1</v>
      </c>
      <c r="O167" s="54">
        <f t="shared" si="12"/>
        <v>0.15909064177793847</v>
      </c>
      <c r="P167" s="17">
        <f t="shared" si="13"/>
        <v>7.8625E-2</v>
      </c>
    </row>
    <row r="168" spans="11:16" x14ac:dyDescent="0.3">
      <c r="K168" s="14">
        <v>0.5</v>
      </c>
      <c r="L168" s="15" cm="1">
        <f t="array" ref="L168:L178">_xlfn.SEQUENCE(11,,0,5%)</f>
        <v>0</v>
      </c>
      <c r="M168" s="15">
        <f t="shared" si="15"/>
        <v>0.5</v>
      </c>
      <c r="N168" s="16">
        <f t="shared" si="14"/>
        <v>1</v>
      </c>
      <c r="O168" s="54">
        <f t="shared" si="12"/>
        <v>8.4439156569467058E-2</v>
      </c>
      <c r="P168" s="17">
        <f t="shared" si="13"/>
        <v>6.8000000000000005E-2</v>
      </c>
    </row>
    <row r="169" spans="11:16" x14ac:dyDescent="0.3">
      <c r="K169" s="14">
        <v>0.5</v>
      </c>
      <c r="L169" s="15">
        <v>0.05</v>
      </c>
      <c r="M169" s="15">
        <f t="shared" si="15"/>
        <v>0.45</v>
      </c>
      <c r="N169" s="16">
        <f t="shared" si="14"/>
        <v>1</v>
      </c>
      <c r="O169" s="54">
        <f t="shared" si="12"/>
        <v>8.8474103657556147E-2</v>
      </c>
      <c r="P169" s="17">
        <f t="shared" si="13"/>
        <v>6.9275000000000003E-2</v>
      </c>
    </row>
    <row r="170" spans="11:16" x14ac:dyDescent="0.3">
      <c r="K170" s="14">
        <v>0.5</v>
      </c>
      <c r="L170" s="15">
        <v>0.1</v>
      </c>
      <c r="M170" s="15">
        <f t="shared" si="15"/>
        <v>0.4</v>
      </c>
      <c r="N170" s="16">
        <f t="shared" si="14"/>
        <v>1</v>
      </c>
      <c r="O170" s="54">
        <f t="shared" si="12"/>
        <v>9.3610361962933084E-2</v>
      </c>
      <c r="P170" s="17">
        <f t="shared" si="13"/>
        <v>7.0550000000000002E-2</v>
      </c>
    </row>
    <row r="171" spans="11:16" x14ac:dyDescent="0.3">
      <c r="K171" s="14">
        <v>0.5</v>
      </c>
      <c r="L171" s="15">
        <v>0.15000000000000002</v>
      </c>
      <c r="M171" s="15">
        <f t="shared" si="15"/>
        <v>0.35</v>
      </c>
      <c r="N171" s="16">
        <f t="shared" si="14"/>
        <v>1</v>
      </c>
      <c r="O171" s="54">
        <f t="shared" si="12"/>
        <v>9.9677829574249144E-2</v>
      </c>
      <c r="P171" s="17">
        <f t="shared" si="13"/>
        <v>7.1825E-2</v>
      </c>
    </row>
    <row r="172" spans="11:16" x14ac:dyDescent="0.3">
      <c r="K172" s="14">
        <v>0.5</v>
      </c>
      <c r="L172" s="15">
        <v>0.2</v>
      </c>
      <c r="M172" s="15">
        <f t="shared" si="15"/>
        <v>0.3</v>
      </c>
      <c r="N172" s="16">
        <f t="shared" si="14"/>
        <v>1</v>
      </c>
      <c r="O172" s="54">
        <f t="shared" si="12"/>
        <v>0.10651749407216221</v>
      </c>
      <c r="P172" s="17">
        <f t="shared" si="13"/>
        <v>7.3099999999999998E-2</v>
      </c>
    </row>
    <row r="173" spans="11:16" x14ac:dyDescent="0.3">
      <c r="K173" s="14">
        <v>0.5</v>
      </c>
      <c r="L173" s="15">
        <v>0.25</v>
      </c>
      <c r="M173" s="15">
        <f t="shared" si="15"/>
        <v>0.25</v>
      </c>
      <c r="N173" s="16">
        <f t="shared" si="14"/>
        <v>1</v>
      </c>
      <c r="O173" s="54">
        <f t="shared" si="12"/>
        <v>0.11399043982357251</v>
      </c>
      <c r="P173" s="17">
        <f t="shared" si="13"/>
        <v>7.4374999999999997E-2</v>
      </c>
    </row>
    <row r="174" spans="11:16" x14ac:dyDescent="0.3">
      <c r="K174" s="14">
        <v>0.5</v>
      </c>
      <c r="L174" s="15">
        <v>0.3</v>
      </c>
      <c r="M174" s="15">
        <f t="shared" si="15"/>
        <v>0.2</v>
      </c>
      <c r="N174" s="16">
        <f t="shared" si="14"/>
        <v>1</v>
      </c>
      <c r="O174" s="54">
        <f t="shared" si="12"/>
        <v>0.12198033116821849</v>
      </c>
      <c r="P174" s="17">
        <f t="shared" si="13"/>
        <v>7.5649999999999995E-2</v>
      </c>
    </row>
    <row r="175" spans="11:16" x14ac:dyDescent="0.3">
      <c r="K175" s="14">
        <v>0.5</v>
      </c>
      <c r="L175" s="15">
        <v>0.35</v>
      </c>
      <c r="M175" s="15">
        <f t="shared" si="15"/>
        <v>0.15000000000000002</v>
      </c>
      <c r="N175" s="16">
        <f t="shared" si="14"/>
        <v>1</v>
      </c>
      <c r="O175" s="54">
        <f t="shared" si="12"/>
        <v>0.13039217386646848</v>
      </c>
      <c r="P175" s="17">
        <f t="shared" si="13"/>
        <v>7.6925000000000007E-2</v>
      </c>
    </row>
    <row r="176" spans="11:16" x14ac:dyDescent="0.3">
      <c r="K176" s="14">
        <v>0.5</v>
      </c>
      <c r="L176" s="15">
        <v>0.39999999999999997</v>
      </c>
      <c r="M176" s="15">
        <f t="shared" si="15"/>
        <v>0.10000000000000003</v>
      </c>
      <c r="N176" s="16">
        <f t="shared" si="14"/>
        <v>1</v>
      </c>
      <c r="O176" s="54">
        <f t="shared" si="12"/>
        <v>0.13914946572774464</v>
      </c>
      <c r="P176" s="17">
        <f t="shared" si="13"/>
        <v>7.8199999999999992E-2</v>
      </c>
    </row>
    <row r="177" spans="11:16" x14ac:dyDescent="0.3">
      <c r="K177" s="14">
        <v>0.5</v>
      </c>
      <c r="L177" s="15">
        <v>0.44999999999999996</v>
      </c>
      <c r="M177" s="15">
        <f t="shared" si="15"/>
        <v>5.0000000000000044E-2</v>
      </c>
      <c r="N177" s="16">
        <f t="shared" si="14"/>
        <v>1</v>
      </c>
      <c r="O177" s="54">
        <f t="shared" si="12"/>
        <v>0.14819097682378829</v>
      </c>
      <c r="P177" s="17">
        <f t="shared" si="13"/>
        <v>7.9475000000000004E-2</v>
      </c>
    </row>
    <row r="178" spans="11:16" x14ac:dyDescent="0.3">
      <c r="K178" s="14">
        <v>0.5</v>
      </c>
      <c r="L178" s="15">
        <v>0.49999999999999994</v>
      </c>
      <c r="M178" s="15">
        <f t="shared" si="15"/>
        <v>0</v>
      </c>
      <c r="N178" s="16">
        <f t="shared" si="14"/>
        <v>1</v>
      </c>
      <c r="O178" s="54">
        <f t="shared" si="12"/>
        <v>0.15746775671431498</v>
      </c>
      <c r="P178" s="17">
        <f t="shared" si="13"/>
        <v>8.0749999999999988E-2</v>
      </c>
    </row>
    <row r="179" spans="11:16" x14ac:dyDescent="0.3">
      <c r="K179" s="14">
        <v>0.55000000000000004</v>
      </c>
      <c r="L179" s="15" cm="1">
        <f t="array" ref="L179:L188">_xlfn.SEQUENCE(10,,0,5%)</f>
        <v>0</v>
      </c>
      <c r="M179" s="15">
        <f t="shared" si="15"/>
        <v>0.44999999999999996</v>
      </c>
      <c r="N179" s="16">
        <f t="shared" si="14"/>
        <v>1</v>
      </c>
      <c r="O179" s="54">
        <f t="shared" si="12"/>
        <v>8.9126561662271023E-2</v>
      </c>
      <c r="P179" s="17">
        <f t="shared" si="13"/>
        <v>7.1400000000000005E-2</v>
      </c>
    </row>
    <row r="180" spans="11:16" x14ac:dyDescent="0.3">
      <c r="K180" s="14">
        <v>0.55000000000000004</v>
      </c>
      <c r="L180" s="15">
        <v>0.05</v>
      </c>
      <c r="M180" s="15">
        <f t="shared" si="15"/>
        <v>0.39999999999999997</v>
      </c>
      <c r="N180" s="16">
        <f t="shared" si="14"/>
        <v>1</v>
      </c>
      <c r="O180" s="54">
        <f t="shared" si="12"/>
        <v>9.389548526876762E-2</v>
      </c>
      <c r="P180" s="17">
        <f t="shared" si="13"/>
        <v>7.2675000000000003E-2</v>
      </c>
    </row>
    <row r="181" spans="11:16" x14ac:dyDescent="0.3">
      <c r="K181" s="14">
        <v>0.55000000000000004</v>
      </c>
      <c r="L181" s="15">
        <v>0.1</v>
      </c>
      <c r="M181" s="15">
        <f t="shared" si="15"/>
        <v>0.35</v>
      </c>
      <c r="N181" s="16">
        <f t="shared" si="14"/>
        <v>1</v>
      </c>
      <c r="O181" s="54">
        <f t="shared" si="12"/>
        <v>9.9632912769598667E-2</v>
      </c>
      <c r="P181" s="17">
        <f t="shared" si="13"/>
        <v>7.3950000000000016E-2</v>
      </c>
    </row>
    <row r="182" spans="11:16" x14ac:dyDescent="0.3">
      <c r="K182" s="14">
        <v>0.55000000000000004</v>
      </c>
      <c r="L182" s="15">
        <v>0.15000000000000002</v>
      </c>
      <c r="M182" s="15">
        <f t="shared" si="15"/>
        <v>0.29999999999999993</v>
      </c>
      <c r="N182" s="16">
        <f t="shared" si="14"/>
        <v>1</v>
      </c>
      <c r="O182" s="54">
        <f t="shared" si="12"/>
        <v>0.10618196387819312</v>
      </c>
      <c r="P182" s="17">
        <f t="shared" si="13"/>
        <v>7.5225E-2</v>
      </c>
    </row>
    <row r="183" spans="11:16" x14ac:dyDescent="0.3">
      <c r="K183" s="14">
        <v>0.55000000000000004</v>
      </c>
      <c r="L183" s="15">
        <v>0.2</v>
      </c>
      <c r="M183" s="15">
        <f t="shared" si="15"/>
        <v>0.24999999999999994</v>
      </c>
      <c r="N183" s="16">
        <f t="shared" si="14"/>
        <v>1</v>
      </c>
      <c r="O183" s="54">
        <f t="shared" si="12"/>
        <v>0.11340211017473927</v>
      </c>
      <c r="P183" s="17">
        <f t="shared" si="13"/>
        <v>7.6499999999999999E-2</v>
      </c>
    </row>
    <row r="184" spans="11:16" x14ac:dyDescent="0.3">
      <c r="K184" s="14">
        <v>0.55000000000000004</v>
      </c>
      <c r="L184" s="15">
        <v>0.25</v>
      </c>
      <c r="M184" s="15">
        <f t="shared" si="15"/>
        <v>0.19999999999999996</v>
      </c>
      <c r="N184" s="16">
        <f t="shared" si="14"/>
        <v>1</v>
      </c>
      <c r="O184" s="54">
        <f t="shared" si="12"/>
        <v>0.12117344892391171</v>
      </c>
      <c r="P184" s="17">
        <f t="shared" si="13"/>
        <v>7.7775000000000011E-2</v>
      </c>
    </row>
    <row r="185" spans="11:16" x14ac:dyDescent="0.3">
      <c r="K185" s="14">
        <v>0.55000000000000004</v>
      </c>
      <c r="L185" s="15">
        <v>0.3</v>
      </c>
      <c r="M185" s="15">
        <f t="shared" si="15"/>
        <v>0.14999999999999997</v>
      </c>
      <c r="N185" s="16">
        <f t="shared" si="14"/>
        <v>1</v>
      </c>
      <c r="O185" s="54">
        <f t="shared" si="12"/>
        <v>0.12939670725766683</v>
      </c>
      <c r="P185" s="17">
        <f t="shared" si="13"/>
        <v>7.9049999999999995E-2</v>
      </c>
    </row>
    <row r="186" spans="11:16" x14ac:dyDescent="0.3">
      <c r="K186" s="14">
        <v>0.55000000000000004</v>
      </c>
      <c r="L186" s="15">
        <v>0.35</v>
      </c>
      <c r="M186" s="15">
        <f t="shared" si="15"/>
        <v>9.9999999999999978E-2</v>
      </c>
      <c r="N186" s="16">
        <f t="shared" si="14"/>
        <v>1</v>
      </c>
      <c r="O186" s="54">
        <f t="shared" si="12"/>
        <v>0.13799111553688942</v>
      </c>
      <c r="P186" s="17">
        <f t="shared" si="13"/>
        <v>8.0325000000000008E-2</v>
      </c>
    </row>
    <row r="187" spans="11:16" x14ac:dyDescent="0.3">
      <c r="K187" s="14">
        <v>0.55000000000000004</v>
      </c>
      <c r="L187" s="15">
        <v>0.39999999999999997</v>
      </c>
      <c r="M187" s="15">
        <f t="shared" si="15"/>
        <v>4.9999999999999989E-2</v>
      </c>
      <c r="N187" s="16">
        <f t="shared" si="14"/>
        <v>1</v>
      </c>
      <c r="O187" s="54">
        <f t="shared" si="12"/>
        <v>0.14689154188748357</v>
      </c>
      <c r="P187" s="17">
        <f t="shared" si="13"/>
        <v>8.1599999999999992E-2</v>
      </c>
    </row>
    <row r="188" spans="11:16" x14ac:dyDescent="0.3">
      <c r="K188" s="14">
        <v>0.55000000000000004</v>
      </c>
      <c r="L188" s="15">
        <v>0.44999999999999996</v>
      </c>
      <c r="M188" s="15">
        <f t="shared" si="15"/>
        <v>0</v>
      </c>
      <c r="N188" s="16">
        <f t="shared" si="14"/>
        <v>1</v>
      </c>
      <c r="O188" s="54">
        <f t="shared" si="12"/>
        <v>0.15604563173004191</v>
      </c>
      <c r="P188" s="17">
        <f t="shared" si="13"/>
        <v>8.2875000000000004E-2</v>
      </c>
    </row>
    <row r="189" spans="11:16" x14ac:dyDescent="0.3">
      <c r="K189" s="14">
        <v>0.6</v>
      </c>
      <c r="L189" s="15" cm="1">
        <f t="array" ref="L189:L197">_xlfn.SEQUENCE(9,,0,5%)</f>
        <v>0</v>
      </c>
      <c r="M189" s="15">
        <f t="shared" si="15"/>
        <v>0.4</v>
      </c>
      <c r="N189" s="16">
        <f t="shared" si="14"/>
        <v>1</v>
      </c>
      <c r="O189" s="54">
        <f t="shared" si="12"/>
        <v>9.4539447401337059E-2</v>
      </c>
      <c r="P189" s="17">
        <f t="shared" si="13"/>
        <v>7.4799999999999991E-2</v>
      </c>
    </row>
    <row r="190" spans="11:16" x14ac:dyDescent="0.3">
      <c r="K190" s="14">
        <v>0.6</v>
      </c>
      <c r="L190" s="15">
        <v>0.05</v>
      </c>
      <c r="M190" s="15">
        <f t="shared" si="15"/>
        <v>0.35000000000000003</v>
      </c>
      <c r="N190" s="16">
        <f t="shared" si="14"/>
        <v>1</v>
      </c>
      <c r="O190" s="54">
        <f t="shared" si="12"/>
        <v>9.9928212129221428E-2</v>
      </c>
      <c r="P190" s="17">
        <f t="shared" si="13"/>
        <v>7.6075000000000004E-2</v>
      </c>
    </row>
    <row r="191" spans="11:16" x14ac:dyDescent="0.3">
      <c r="K191" s="14">
        <v>0.6</v>
      </c>
      <c r="L191" s="15">
        <v>0.1</v>
      </c>
      <c r="M191" s="15">
        <f t="shared" si="15"/>
        <v>0.30000000000000004</v>
      </c>
      <c r="N191" s="16">
        <f t="shared" si="14"/>
        <v>1</v>
      </c>
      <c r="O191" s="54">
        <f t="shared" si="12"/>
        <v>0.10616555485049525</v>
      </c>
      <c r="P191" s="17">
        <f t="shared" si="13"/>
        <v>7.7349999999999988E-2</v>
      </c>
    </row>
    <row r="192" spans="11:16" x14ac:dyDescent="0.3">
      <c r="K192" s="14">
        <v>0.6</v>
      </c>
      <c r="L192" s="15">
        <v>0.15000000000000002</v>
      </c>
      <c r="M192" s="15">
        <f t="shared" si="15"/>
        <v>0.25</v>
      </c>
      <c r="N192" s="16">
        <f t="shared" si="14"/>
        <v>1</v>
      </c>
      <c r="O192" s="54">
        <f t="shared" si="12"/>
        <v>0.11311118197182234</v>
      </c>
      <c r="P192" s="17">
        <f t="shared" si="13"/>
        <v>7.8625E-2</v>
      </c>
    </row>
    <row r="193" spans="11:16" x14ac:dyDescent="0.3">
      <c r="K193" s="14">
        <v>0.6</v>
      </c>
      <c r="L193" s="15">
        <v>0.2</v>
      </c>
      <c r="M193" s="15">
        <f t="shared" si="15"/>
        <v>0.2</v>
      </c>
      <c r="N193" s="16">
        <f t="shared" si="14"/>
        <v>1</v>
      </c>
      <c r="O193" s="54">
        <f t="shared" si="12"/>
        <v>0.12064282378322484</v>
      </c>
      <c r="P193" s="17">
        <f t="shared" si="13"/>
        <v>7.9899999999999999E-2</v>
      </c>
    </row>
    <row r="194" spans="11:16" x14ac:dyDescent="0.3">
      <c r="K194" s="14">
        <v>0.6</v>
      </c>
      <c r="L194" s="15">
        <v>0.25</v>
      </c>
      <c r="M194" s="15">
        <f t="shared" si="15"/>
        <v>0.15000000000000002</v>
      </c>
      <c r="N194" s="16">
        <f t="shared" si="14"/>
        <v>1</v>
      </c>
      <c r="O194" s="54">
        <f t="shared" si="12"/>
        <v>0.12865760516462341</v>
      </c>
      <c r="P194" s="17">
        <f t="shared" si="13"/>
        <v>8.1174999999999997E-2</v>
      </c>
    </row>
    <row r="195" spans="11:16" x14ac:dyDescent="0.3">
      <c r="K195" s="14">
        <v>0.6</v>
      </c>
      <c r="L195" s="15">
        <v>0.3</v>
      </c>
      <c r="M195" s="15">
        <f t="shared" si="15"/>
        <v>0.10000000000000003</v>
      </c>
      <c r="N195" s="16">
        <f t="shared" si="14"/>
        <v>1</v>
      </c>
      <c r="O195" s="54">
        <f t="shared" ref="O195:O233" si="16">SQRT(K195^2*$G$4^2 + L195^2*$H$4^2 + M195^2*$I$4^2 + 2*K195*L195*$G$10*$G$4*$H$4 + 2*L195*M195*$G$12*$H$4*$I$4 + 2*K195*M195*$G$11*$G$4*$I$4)</f>
        <v>0.13707080212787973</v>
      </c>
      <c r="P195" s="17">
        <f t="shared" ref="P195:P233" si="17">K195*$G$7 + L195*$H$7 + M195*$I$7</f>
        <v>8.2449999999999996E-2</v>
      </c>
    </row>
    <row r="196" spans="11:16" x14ac:dyDescent="0.3">
      <c r="K196" s="14">
        <v>0.6</v>
      </c>
      <c r="L196" s="15">
        <v>0.35</v>
      </c>
      <c r="M196" s="15">
        <f t="shared" si="15"/>
        <v>5.0000000000000044E-2</v>
      </c>
      <c r="N196" s="16">
        <f t="shared" ref="N196:N233" si="18">SUM(K196:M196)</f>
        <v>1</v>
      </c>
      <c r="O196" s="54">
        <f t="shared" si="16"/>
        <v>0.14581346720465477</v>
      </c>
      <c r="P196" s="17">
        <f t="shared" si="17"/>
        <v>8.3724999999999994E-2</v>
      </c>
    </row>
    <row r="197" spans="11:16" x14ac:dyDescent="0.3">
      <c r="K197" s="14">
        <v>0.6</v>
      </c>
      <c r="L197" s="15">
        <v>0.39999999999999997</v>
      </c>
      <c r="M197" s="15">
        <f t="shared" si="15"/>
        <v>0</v>
      </c>
      <c r="N197" s="16">
        <f t="shared" si="18"/>
        <v>1</v>
      </c>
      <c r="O197" s="54">
        <f t="shared" si="16"/>
        <v>0.15482979891960025</v>
      </c>
      <c r="P197" s="17">
        <f t="shared" si="17"/>
        <v>8.4999999999999992E-2</v>
      </c>
    </row>
    <row r="198" spans="11:16" x14ac:dyDescent="0.3">
      <c r="K198" s="14">
        <v>0.65</v>
      </c>
      <c r="L198" s="15" cm="1">
        <f t="array" ref="L198:L205">_xlfn.SEQUENCE(8,,0,5%)</f>
        <v>0</v>
      </c>
      <c r="M198" s="15">
        <f t="shared" si="15"/>
        <v>0.35</v>
      </c>
      <c r="N198" s="16">
        <f t="shared" si="18"/>
        <v>1</v>
      </c>
      <c r="O198" s="54">
        <f t="shared" si="16"/>
        <v>0.10056073053532233</v>
      </c>
      <c r="P198" s="17">
        <f t="shared" si="17"/>
        <v>7.8199999999999992E-2</v>
      </c>
    </row>
    <row r="199" spans="11:16" x14ac:dyDescent="0.3">
      <c r="K199" s="14">
        <v>0.65</v>
      </c>
      <c r="L199" s="15">
        <v>0.05</v>
      </c>
      <c r="M199" s="15">
        <f t="shared" si="15"/>
        <v>0.3</v>
      </c>
      <c r="N199" s="16">
        <f t="shared" si="18"/>
        <v>1</v>
      </c>
      <c r="O199" s="54">
        <f t="shared" si="16"/>
        <v>0.10646841453907328</v>
      </c>
      <c r="P199" s="17">
        <f t="shared" si="17"/>
        <v>7.9475000000000004E-2</v>
      </c>
    </row>
    <row r="200" spans="11:16" x14ac:dyDescent="0.3">
      <c r="K200" s="14">
        <v>0.65</v>
      </c>
      <c r="L200" s="15">
        <v>0.1</v>
      </c>
      <c r="M200" s="15">
        <f t="shared" si="15"/>
        <v>0.24999999999999997</v>
      </c>
      <c r="N200" s="16">
        <f t="shared" si="18"/>
        <v>1</v>
      </c>
      <c r="O200" s="54">
        <f t="shared" si="16"/>
        <v>0.1131199498590259</v>
      </c>
      <c r="P200" s="17">
        <f t="shared" si="17"/>
        <v>8.0749999999999988E-2</v>
      </c>
    </row>
    <row r="201" spans="11:16" x14ac:dyDescent="0.3">
      <c r="K201" s="14">
        <v>0.65</v>
      </c>
      <c r="L201" s="15">
        <v>0.15000000000000002</v>
      </c>
      <c r="M201" s="15">
        <f t="shared" si="15"/>
        <v>0.19999999999999996</v>
      </c>
      <c r="N201" s="16">
        <f t="shared" si="18"/>
        <v>1</v>
      </c>
      <c r="O201" s="54">
        <f t="shared" si="16"/>
        <v>0.12039210858993818</v>
      </c>
      <c r="P201" s="17">
        <f t="shared" si="17"/>
        <v>8.2025000000000001E-2</v>
      </c>
    </row>
    <row r="202" spans="11:16" x14ac:dyDescent="0.3">
      <c r="K202" s="14">
        <v>0.65</v>
      </c>
      <c r="L202" s="15">
        <v>0.2</v>
      </c>
      <c r="M202" s="15">
        <f t="shared" si="15"/>
        <v>0.14999999999999997</v>
      </c>
      <c r="N202" s="16">
        <f t="shared" si="18"/>
        <v>1</v>
      </c>
      <c r="O202" s="54">
        <f t="shared" si="16"/>
        <v>0.12817930237886593</v>
      </c>
      <c r="P202" s="17">
        <f t="shared" si="17"/>
        <v>8.3299999999999985E-2</v>
      </c>
    </row>
    <row r="203" spans="11:16" x14ac:dyDescent="0.3">
      <c r="K203" s="14">
        <v>0.65</v>
      </c>
      <c r="L203" s="15">
        <v>0.25</v>
      </c>
      <c r="M203" s="15">
        <f t="shared" si="15"/>
        <v>9.9999999999999978E-2</v>
      </c>
      <c r="N203" s="16">
        <f t="shared" si="18"/>
        <v>1</v>
      </c>
      <c r="O203" s="54">
        <f t="shared" si="16"/>
        <v>0.13639334404182768</v>
      </c>
      <c r="P203" s="17">
        <f t="shared" si="17"/>
        <v>8.4574999999999997E-2</v>
      </c>
    </row>
    <row r="204" spans="11:16" x14ac:dyDescent="0.3">
      <c r="K204" s="14">
        <v>0.65</v>
      </c>
      <c r="L204" s="15">
        <v>0.3</v>
      </c>
      <c r="M204" s="15">
        <f t="shared" si="15"/>
        <v>4.9999999999999989E-2</v>
      </c>
      <c r="N204" s="16">
        <f t="shared" si="18"/>
        <v>1</v>
      </c>
      <c r="O204" s="54">
        <f t="shared" si="16"/>
        <v>0.14496169160323127</v>
      </c>
      <c r="P204" s="17">
        <f t="shared" si="17"/>
        <v>8.5849999999999996E-2</v>
      </c>
    </row>
    <row r="205" spans="11:16" x14ac:dyDescent="0.3">
      <c r="K205" s="14">
        <v>0.65</v>
      </c>
      <c r="L205" s="15">
        <v>0.35</v>
      </c>
      <c r="M205" s="15">
        <f t="shared" si="15"/>
        <v>0</v>
      </c>
      <c r="N205" s="16">
        <f t="shared" si="18"/>
        <v>1</v>
      </c>
      <c r="O205" s="54">
        <f t="shared" si="16"/>
        <v>0.1538251499560675</v>
      </c>
      <c r="P205" s="17">
        <f t="shared" si="17"/>
        <v>8.7124999999999994E-2</v>
      </c>
    </row>
    <row r="206" spans="11:16" x14ac:dyDescent="0.3">
      <c r="K206" s="14">
        <v>0.7</v>
      </c>
      <c r="L206" s="15" cm="1">
        <f t="array" ref="L206:L212">_xlfn.SEQUENCE(7,,0,5%)</f>
        <v>0</v>
      </c>
      <c r="M206" s="15">
        <f t="shared" si="15"/>
        <v>0.30000000000000004</v>
      </c>
      <c r="N206" s="16">
        <f t="shared" si="18"/>
        <v>1</v>
      </c>
      <c r="O206" s="54">
        <f t="shared" si="16"/>
        <v>0.10708783416561002</v>
      </c>
      <c r="P206" s="17">
        <f t="shared" si="17"/>
        <v>8.1599999999999992E-2</v>
      </c>
    </row>
    <row r="207" spans="11:16" x14ac:dyDescent="0.3">
      <c r="K207" s="14">
        <v>0.7</v>
      </c>
      <c r="L207" s="15">
        <v>0.05</v>
      </c>
      <c r="M207" s="15">
        <f t="shared" si="15"/>
        <v>0.25000000000000006</v>
      </c>
      <c r="N207" s="16">
        <f t="shared" si="18"/>
        <v>1</v>
      </c>
      <c r="O207" s="54">
        <f t="shared" si="16"/>
        <v>0.11342834433782929</v>
      </c>
      <c r="P207" s="17">
        <f t="shared" si="17"/>
        <v>8.2875000000000004E-2</v>
      </c>
    </row>
    <row r="208" spans="11:16" x14ac:dyDescent="0.3">
      <c r="K208" s="14">
        <v>0.7</v>
      </c>
      <c r="L208" s="15">
        <v>0.1</v>
      </c>
      <c r="M208" s="15">
        <f t="shared" si="15"/>
        <v>0.20000000000000004</v>
      </c>
      <c r="N208" s="16">
        <f t="shared" si="18"/>
        <v>1</v>
      </c>
      <c r="O208" s="54">
        <f t="shared" si="16"/>
        <v>0.12042305163522264</v>
      </c>
      <c r="P208" s="17">
        <f t="shared" si="17"/>
        <v>8.4149999999999989E-2</v>
      </c>
    </row>
    <row r="209" spans="11:16" x14ac:dyDescent="0.3">
      <c r="K209" s="14">
        <v>0.7</v>
      </c>
      <c r="L209" s="15">
        <v>0.15000000000000002</v>
      </c>
      <c r="M209" s="15">
        <f t="shared" ref="M209:M232" si="19">1-K209-L209</f>
        <v>0.15000000000000002</v>
      </c>
      <c r="N209" s="16">
        <f t="shared" si="18"/>
        <v>1</v>
      </c>
      <c r="O209" s="54">
        <f t="shared" si="16"/>
        <v>0.12796472335779174</v>
      </c>
      <c r="P209" s="17">
        <f t="shared" si="17"/>
        <v>8.5425000000000001E-2</v>
      </c>
    </row>
    <row r="210" spans="11:16" x14ac:dyDescent="0.3">
      <c r="K210" s="14">
        <v>0.7</v>
      </c>
      <c r="L210" s="15">
        <v>0.2</v>
      </c>
      <c r="M210" s="15">
        <f t="shared" si="19"/>
        <v>0.10000000000000003</v>
      </c>
      <c r="N210" s="16">
        <f t="shared" si="18"/>
        <v>1</v>
      </c>
      <c r="O210" s="54">
        <f t="shared" si="16"/>
        <v>0.13596237154415627</v>
      </c>
      <c r="P210" s="17">
        <f t="shared" si="17"/>
        <v>8.6699999999999985E-2</v>
      </c>
    </row>
    <row r="211" spans="11:16" x14ac:dyDescent="0.3">
      <c r="K211" s="14">
        <v>0.7</v>
      </c>
      <c r="L211" s="15">
        <v>0.25</v>
      </c>
      <c r="M211" s="15">
        <f t="shared" si="19"/>
        <v>5.0000000000000044E-2</v>
      </c>
      <c r="N211" s="16">
        <f t="shared" si="18"/>
        <v>1</v>
      </c>
      <c r="O211" s="54">
        <f t="shared" si="16"/>
        <v>0.14434022142412195</v>
      </c>
      <c r="P211" s="17">
        <f t="shared" si="17"/>
        <v>8.7974999999999998E-2</v>
      </c>
    </row>
    <row r="212" spans="11:16" x14ac:dyDescent="0.3">
      <c r="K212" s="14">
        <v>0.7</v>
      </c>
      <c r="L212" s="15">
        <v>0.3</v>
      </c>
      <c r="M212" s="15">
        <f t="shared" si="19"/>
        <v>0</v>
      </c>
      <c r="N212" s="16">
        <f t="shared" si="18"/>
        <v>1</v>
      </c>
      <c r="O212" s="54">
        <f t="shared" si="16"/>
        <v>0.15303584403203149</v>
      </c>
      <c r="P212" s="17">
        <f t="shared" si="17"/>
        <v>8.9249999999999996E-2</v>
      </c>
    </row>
    <row r="213" spans="11:16" x14ac:dyDescent="0.3">
      <c r="K213" s="14">
        <v>0.75</v>
      </c>
      <c r="L213" s="15" cm="1">
        <f t="array" ref="L213:L218">_xlfn.SEQUENCE(6,,0,5%)</f>
        <v>0</v>
      </c>
      <c r="M213" s="15">
        <f t="shared" si="19"/>
        <v>0.25</v>
      </c>
      <c r="N213" s="16">
        <f t="shared" si="18"/>
        <v>1</v>
      </c>
      <c r="O213" s="54">
        <f t="shared" si="16"/>
        <v>0.11403393449495912</v>
      </c>
      <c r="P213" s="17">
        <f t="shared" si="17"/>
        <v>8.4999999999999992E-2</v>
      </c>
    </row>
    <row r="214" spans="11:16" x14ac:dyDescent="0.3">
      <c r="K214" s="14">
        <v>0.75</v>
      </c>
      <c r="L214" s="15">
        <v>0.05</v>
      </c>
      <c r="M214" s="15">
        <f t="shared" si="19"/>
        <v>0.2</v>
      </c>
      <c r="N214" s="16">
        <f t="shared" si="18"/>
        <v>1</v>
      </c>
      <c r="O214" s="54">
        <f t="shared" si="16"/>
        <v>0.12073543636238016</v>
      </c>
      <c r="P214" s="17">
        <f t="shared" si="17"/>
        <v>8.6275000000000004E-2</v>
      </c>
    </row>
    <row r="215" spans="11:16" x14ac:dyDescent="0.3">
      <c r="K215" s="14">
        <v>0.75</v>
      </c>
      <c r="L215" s="15">
        <v>0.1</v>
      </c>
      <c r="M215" s="15">
        <f t="shared" si="19"/>
        <v>0.15</v>
      </c>
      <c r="N215" s="16">
        <f t="shared" si="18"/>
        <v>1</v>
      </c>
      <c r="O215" s="54">
        <f t="shared" si="16"/>
        <v>0.12801519426929922</v>
      </c>
      <c r="P215" s="17">
        <f t="shared" si="17"/>
        <v>8.7549999999999989E-2</v>
      </c>
    </row>
    <row r="216" spans="11:16" x14ac:dyDescent="0.3">
      <c r="K216" s="14">
        <v>0.75</v>
      </c>
      <c r="L216" s="15">
        <v>0.15000000000000002</v>
      </c>
      <c r="M216" s="15">
        <f t="shared" si="19"/>
        <v>9.9999999999999978E-2</v>
      </c>
      <c r="N216" s="16">
        <f t="shared" si="18"/>
        <v>1</v>
      </c>
      <c r="O216" s="54">
        <f t="shared" si="16"/>
        <v>0.1357802317238295</v>
      </c>
      <c r="P216" s="17">
        <f t="shared" si="17"/>
        <v>8.8825000000000001E-2</v>
      </c>
    </row>
    <row r="217" spans="11:16" x14ac:dyDescent="0.3">
      <c r="K217" s="14">
        <v>0.75</v>
      </c>
      <c r="L217" s="15">
        <v>0.2</v>
      </c>
      <c r="M217" s="15">
        <f t="shared" si="19"/>
        <v>4.9999999999999989E-2</v>
      </c>
      <c r="N217" s="16">
        <f t="shared" si="18"/>
        <v>1</v>
      </c>
      <c r="O217" s="54">
        <f t="shared" si="16"/>
        <v>0.143952039524022</v>
      </c>
      <c r="P217" s="17">
        <f t="shared" si="17"/>
        <v>9.01E-2</v>
      </c>
    </row>
    <row r="218" spans="11:16" x14ac:dyDescent="0.3">
      <c r="K218" s="14">
        <v>0.75</v>
      </c>
      <c r="L218" s="15">
        <v>0.25</v>
      </c>
      <c r="M218" s="15">
        <f t="shared" si="19"/>
        <v>0</v>
      </c>
      <c r="N218" s="16">
        <f t="shared" si="18"/>
        <v>1</v>
      </c>
      <c r="O218" s="54">
        <f t="shared" si="16"/>
        <v>0.15246522564917123</v>
      </c>
      <c r="P218" s="17">
        <f t="shared" si="17"/>
        <v>9.1374999999999998E-2</v>
      </c>
    </row>
    <row r="219" spans="11:16" x14ac:dyDescent="0.3">
      <c r="K219" s="14">
        <v>0.8</v>
      </c>
      <c r="L219" s="15" cm="1">
        <f t="array" ref="L219:L223">_xlfn.SEQUENCE(5,,0,5%)</f>
        <v>0</v>
      </c>
      <c r="M219" s="15">
        <f t="shared" si="19"/>
        <v>0.19999999999999996</v>
      </c>
      <c r="N219" s="16">
        <f t="shared" si="18"/>
        <v>1</v>
      </c>
      <c r="O219" s="54">
        <f t="shared" si="16"/>
        <v>0.12132708888024975</v>
      </c>
      <c r="P219" s="17">
        <f t="shared" si="17"/>
        <v>8.8400000000000006E-2</v>
      </c>
    </row>
    <row r="220" spans="11:16" x14ac:dyDescent="0.3">
      <c r="K220" s="14">
        <v>0.8</v>
      </c>
      <c r="L220" s="15">
        <v>0.05</v>
      </c>
      <c r="M220" s="15">
        <f t="shared" si="19"/>
        <v>0.14999999999999997</v>
      </c>
      <c r="N220" s="16">
        <f t="shared" si="18"/>
        <v>1</v>
      </c>
      <c r="O220" s="54">
        <f t="shared" si="16"/>
        <v>0.12833040239025001</v>
      </c>
      <c r="P220" s="17">
        <f t="shared" si="17"/>
        <v>8.9675000000000005E-2</v>
      </c>
    </row>
    <row r="221" spans="11:16" x14ac:dyDescent="0.3">
      <c r="K221" s="14">
        <v>0.8</v>
      </c>
      <c r="L221" s="15">
        <v>0.1</v>
      </c>
      <c r="M221" s="15">
        <f t="shared" si="19"/>
        <v>9.999999999999995E-2</v>
      </c>
      <c r="N221" s="16">
        <f t="shared" si="18"/>
        <v>1</v>
      </c>
      <c r="O221" s="54">
        <f t="shared" si="16"/>
        <v>0.13584792546119095</v>
      </c>
      <c r="P221" s="17">
        <f t="shared" si="17"/>
        <v>9.0950000000000003E-2</v>
      </c>
    </row>
    <row r="222" spans="11:16" x14ac:dyDescent="0.3">
      <c r="K222" s="14">
        <v>0.8</v>
      </c>
      <c r="L222" s="15">
        <v>0.15000000000000002</v>
      </c>
      <c r="M222" s="15">
        <f t="shared" si="19"/>
        <v>4.9999999999999933E-2</v>
      </c>
      <c r="N222" s="16">
        <f t="shared" si="18"/>
        <v>1</v>
      </c>
      <c r="O222" s="54">
        <f t="shared" si="16"/>
        <v>0.14379903518297141</v>
      </c>
      <c r="P222" s="17">
        <f t="shared" si="17"/>
        <v>9.2225000000000001E-2</v>
      </c>
    </row>
    <row r="223" spans="11:16" x14ac:dyDescent="0.3">
      <c r="K223" s="14">
        <v>0.8</v>
      </c>
      <c r="L223" s="15">
        <v>0.2</v>
      </c>
      <c r="M223" s="15">
        <f t="shared" si="19"/>
        <v>0</v>
      </c>
      <c r="N223" s="16">
        <f t="shared" si="18"/>
        <v>1</v>
      </c>
      <c r="O223" s="54">
        <f t="shared" si="16"/>
        <v>0.15211575585709702</v>
      </c>
      <c r="P223" s="17">
        <f t="shared" si="17"/>
        <v>9.35E-2</v>
      </c>
    </row>
    <row r="224" spans="11:16" x14ac:dyDescent="0.3">
      <c r="K224" s="14">
        <v>0.85</v>
      </c>
      <c r="L224" s="15" cm="1">
        <f t="array" ref="L224:L227">_xlfn.SEQUENCE(4,,0,5%)</f>
        <v>0</v>
      </c>
      <c r="M224" s="15">
        <f t="shared" si="19"/>
        <v>0.15000000000000002</v>
      </c>
      <c r="N224" s="16">
        <f t="shared" si="18"/>
        <v>1</v>
      </c>
      <c r="O224" s="54">
        <f t="shared" si="16"/>
        <v>0.12890840572106751</v>
      </c>
      <c r="P224" s="17">
        <f t="shared" si="17"/>
        <v>9.1799999999999993E-2</v>
      </c>
    </row>
    <row r="225" spans="11:16" x14ac:dyDescent="0.3">
      <c r="K225" s="14">
        <v>0.85</v>
      </c>
      <c r="L225" s="15">
        <v>0.05</v>
      </c>
      <c r="M225" s="15">
        <f t="shared" si="19"/>
        <v>0.10000000000000002</v>
      </c>
      <c r="N225" s="16">
        <f t="shared" si="18"/>
        <v>1</v>
      </c>
      <c r="O225" s="54">
        <f t="shared" si="16"/>
        <v>0.13616508014652129</v>
      </c>
      <c r="P225" s="17">
        <f t="shared" si="17"/>
        <v>9.3074999999999991E-2</v>
      </c>
    </row>
    <row r="226" spans="11:16" x14ac:dyDescent="0.3">
      <c r="K226" s="14">
        <v>0.85</v>
      </c>
      <c r="L226" s="15">
        <v>0.1</v>
      </c>
      <c r="M226" s="15">
        <f t="shared" si="19"/>
        <v>5.0000000000000017E-2</v>
      </c>
      <c r="N226" s="16">
        <f t="shared" si="18"/>
        <v>1</v>
      </c>
      <c r="O226" s="54">
        <f t="shared" si="16"/>
        <v>0.14388195866768047</v>
      </c>
      <c r="P226" s="17">
        <f t="shared" si="17"/>
        <v>9.4349999999999989E-2</v>
      </c>
    </row>
    <row r="227" spans="11:16" x14ac:dyDescent="0.3">
      <c r="K227" s="14">
        <v>0.85</v>
      </c>
      <c r="L227" s="15">
        <v>0.15000000000000002</v>
      </c>
      <c r="M227" s="15">
        <f t="shared" si="19"/>
        <v>0</v>
      </c>
      <c r="N227" s="16">
        <f t="shared" si="18"/>
        <v>1</v>
      </c>
      <c r="O227" s="54">
        <f t="shared" si="16"/>
        <v>0.15198896013120824</v>
      </c>
      <c r="P227" s="17">
        <f t="shared" si="17"/>
        <v>9.5624999999999988E-2</v>
      </c>
    </row>
    <row r="228" spans="11:16" x14ac:dyDescent="0.3">
      <c r="K228" s="14">
        <v>0.9</v>
      </c>
      <c r="L228" s="15" cm="1">
        <f t="array" ref="L228:L230">_xlfn.SEQUENCE(3,,0,5%)</f>
        <v>0</v>
      </c>
      <c r="M228" s="15">
        <f t="shared" si="19"/>
        <v>9.9999999999999978E-2</v>
      </c>
      <c r="N228" s="16">
        <f t="shared" si="18"/>
        <v>1</v>
      </c>
      <c r="O228" s="54">
        <f t="shared" si="16"/>
        <v>0.13672995986459827</v>
      </c>
      <c r="P228" s="17">
        <f t="shared" si="17"/>
        <v>9.5199999999999993E-2</v>
      </c>
    </row>
    <row r="229" spans="11:16" x14ac:dyDescent="0.3">
      <c r="K229" s="14">
        <v>0.9</v>
      </c>
      <c r="L229" s="15">
        <v>0.05</v>
      </c>
      <c r="M229" s="15">
        <f t="shared" si="19"/>
        <v>4.9999999999999975E-2</v>
      </c>
      <c r="N229" s="16">
        <f t="shared" si="18"/>
        <v>1</v>
      </c>
      <c r="O229" s="54">
        <f t="shared" si="16"/>
        <v>0.14420040296271575</v>
      </c>
      <c r="P229" s="17">
        <f t="shared" si="17"/>
        <v>9.6474999999999991E-2</v>
      </c>
    </row>
    <row r="230" spans="11:16" x14ac:dyDescent="0.3">
      <c r="K230" s="14">
        <v>0.9</v>
      </c>
      <c r="L230" s="15">
        <v>0.1</v>
      </c>
      <c r="M230" s="15">
        <f t="shared" si="19"/>
        <v>0</v>
      </c>
      <c r="N230" s="16">
        <f t="shared" si="18"/>
        <v>1</v>
      </c>
      <c r="O230" s="54">
        <f t="shared" si="16"/>
        <v>0.15208539541199506</v>
      </c>
      <c r="P230" s="17">
        <f t="shared" si="17"/>
        <v>9.774999999999999E-2</v>
      </c>
    </row>
    <row r="231" spans="11:16" x14ac:dyDescent="0.3">
      <c r="K231" s="14">
        <v>0.95</v>
      </c>
      <c r="L231" s="15" cm="1">
        <f t="array" ref="L231:L232">_xlfn.SEQUENCE(2,,0,5%)</f>
        <v>0</v>
      </c>
      <c r="M231" s="15">
        <f t="shared" si="19"/>
        <v>5.0000000000000044E-2</v>
      </c>
      <c r="N231" s="16">
        <f t="shared" si="18"/>
        <v>1</v>
      </c>
      <c r="O231" s="54">
        <f t="shared" si="16"/>
        <v>0.14475281369713647</v>
      </c>
      <c r="P231" s="17">
        <f t="shared" si="17"/>
        <v>9.8599999999999993E-2</v>
      </c>
    </row>
    <row r="232" spans="11:16" x14ac:dyDescent="0.3">
      <c r="K232" s="14">
        <v>0.95</v>
      </c>
      <c r="L232" s="15">
        <v>0.05</v>
      </c>
      <c r="M232" s="15">
        <f t="shared" si="19"/>
        <v>0</v>
      </c>
      <c r="N232" s="16">
        <f t="shared" si="18"/>
        <v>1</v>
      </c>
      <c r="O232" s="54">
        <f t="shared" si="16"/>
        <v>0.15240463794631245</v>
      </c>
      <c r="P232" s="17">
        <f t="shared" si="17"/>
        <v>9.9874999999999992E-2</v>
      </c>
    </row>
    <row r="233" spans="11:16" ht="15" thickBot="1" x14ac:dyDescent="0.35">
      <c r="K233" s="18">
        <v>1</v>
      </c>
      <c r="L233" s="19">
        <v>0</v>
      </c>
      <c r="M233" s="19">
        <v>0</v>
      </c>
      <c r="N233" s="20">
        <f t="shared" si="18"/>
        <v>1</v>
      </c>
      <c r="O233" s="55">
        <f t="shared" si="16"/>
        <v>0.15294529254454711</v>
      </c>
      <c r="P233" s="42">
        <f t="shared" si="17"/>
        <v>0.10199999999999999</v>
      </c>
    </row>
    <row r="246" spans="9:11" x14ac:dyDescent="0.3">
      <c r="I246" s="3"/>
      <c r="K246" s="13"/>
    </row>
  </sheetData>
  <dataConsolidate function="min"/>
  <mergeCells count="12">
    <mergeCell ref="Z31:AE32"/>
    <mergeCell ref="R27:W33"/>
    <mergeCell ref="R1:AL1"/>
    <mergeCell ref="A1:D1"/>
    <mergeCell ref="F1:I1"/>
    <mergeCell ref="F17:I21"/>
    <mergeCell ref="F15:I16"/>
    <mergeCell ref="K1:P1"/>
    <mergeCell ref="Z9:AE10"/>
    <mergeCell ref="AG9:AL10"/>
    <mergeCell ref="Z20:AE21"/>
    <mergeCell ref="AG20:AL21"/>
  </mergeCells>
  <phoneticPr fontId="8" type="noConversion"/>
  <pageMargins left="0.7" right="0.7" top="0.75" bottom="0.75" header="0.3" footer="0.3"/>
  <ignoredErrors>
    <ignoredError sqref="H26" formula="1"/>
  </ignoredErrors>
  <drawing r:id="rId1"/>
  <legacyDrawing r:id="rId2"/>
  <tableParts count="3"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0FB16-CA99-4728-B738-FB1CE0809004}">
  <sheetPr codeName="Planilha4"/>
  <dimension ref="A1:AA90"/>
  <sheetViews>
    <sheetView showGridLines="0" topLeftCell="H1" zoomScale="55" zoomScaleNormal="55" workbookViewId="0">
      <selection activeCell="N11" sqref="N11"/>
    </sheetView>
  </sheetViews>
  <sheetFormatPr defaultRowHeight="14.4" x14ac:dyDescent="0.3"/>
  <cols>
    <col min="1" max="1" width="29" customWidth="1"/>
    <col min="2" max="2" width="29" style="4" customWidth="1"/>
    <col min="3" max="3" width="52.33203125" style="4" customWidth="1"/>
    <col min="4" max="4" width="33.33203125" style="4" customWidth="1"/>
    <col min="5" max="6" width="29" style="4" customWidth="1"/>
    <col min="7" max="10" width="29" customWidth="1"/>
    <col min="11" max="13" width="29" style="4" customWidth="1"/>
    <col min="14" max="17" width="29" customWidth="1"/>
    <col min="18" max="18" width="37.88671875" customWidth="1"/>
    <col min="19" max="30" width="29" customWidth="1"/>
  </cols>
  <sheetData>
    <row r="1" spans="1:13" ht="33.6" customHeight="1" thickBot="1" x14ac:dyDescent="0.35">
      <c r="A1" s="168" t="s">
        <v>112</v>
      </c>
      <c r="B1" s="169"/>
      <c r="C1" s="170"/>
      <c r="E1" s="198" t="s">
        <v>113</v>
      </c>
      <c r="F1" s="199"/>
      <c r="G1" s="199"/>
      <c r="H1" s="200"/>
      <c r="K1" s="168" t="s">
        <v>115</v>
      </c>
      <c r="L1" s="201"/>
      <c r="M1"/>
    </row>
    <row r="2" spans="1:13" x14ac:dyDescent="0.3">
      <c r="A2" t="s">
        <v>3</v>
      </c>
      <c r="B2" t="s">
        <v>12</v>
      </c>
      <c r="C2" t="s">
        <v>13</v>
      </c>
      <c r="D2"/>
      <c r="E2" t="s">
        <v>40</v>
      </c>
      <c r="F2" t="s">
        <v>41</v>
      </c>
      <c r="G2" t="s">
        <v>42</v>
      </c>
      <c r="H2" t="s">
        <v>43</v>
      </c>
      <c r="K2"/>
      <c r="L2"/>
      <c r="M2"/>
    </row>
    <row r="3" spans="1:13" x14ac:dyDescent="0.3">
      <c r="A3" t="s">
        <v>11</v>
      </c>
      <c r="B3" s="2">
        <f>HLOOKUP($L$3,Tabela2[#All],4,FALSE)</f>
        <v>0.52042067461097496</v>
      </c>
      <c r="C3" s="1" t="s">
        <v>46</v>
      </c>
      <c r="E3" t="s">
        <v>10</v>
      </c>
      <c r="F3">
        <v>30</v>
      </c>
      <c r="G3">
        <v>40</v>
      </c>
      <c r="H3">
        <v>75</v>
      </c>
      <c r="K3" s="148" t="s">
        <v>60</v>
      </c>
      <c r="L3" s="148" t="s">
        <v>43</v>
      </c>
      <c r="M3" t="s">
        <v>125</v>
      </c>
    </row>
    <row r="4" spans="1:13" x14ac:dyDescent="0.3">
      <c r="A4" t="s">
        <v>14</v>
      </c>
      <c r="B4" s="2">
        <f>1 -B3</f>
        <v>0.47957932538902504</v>
      </c>
      <c r="C4" s="1" t="s">
        <v>47</v>
      </c>
      <c r="E4" t="s">
        <v>44</v>
      </c>
      <c r="F4" s="3">
        <v>0.02</v>
      </c>
      <c r="G4" s="3">
        <v>0.04</v>
      </c>
      <c r="H4" s="3">
        <v>0.05</v>
      </c>
      <c r="K4"/>
      <c r="L4"/>
      <c r="M4"/>
    </row>
    <row r="5" spans="1:13" x14ac:dyDescent="0.3">
      <c r="A5" t="s">
        <v>15</v>
      </c>
      <c r="B5" s="2">
        <f>HLOOKUP($L$3,Tabela2[#All],6,FALSE) / (HLOOKUP($L$3,Tabela2[#All],6,FALSE) + HLOOKUP($L$3,Tabela2[#All],5,FALSE))</f>
        <v>0.10425825637437004</v>
      </c>
      <c r="C5" s="1" t="s">
        <v>48</v>
      </c>
      <c r="E5" t="s">
        <v>92</v>
      </c>
      <c r="F5" s="13">
        <f>'1. Dados Históricos'!AG12</f>
        <v>0.46245655241036443</v>
      </c>
      <c r="G5" s="116">
        <f>'1. Dados Históricos'!AG23</f>
        <v>0.3624502359819492</v>
      </c>
      <c r="H5" s="116">
        <f>'1. Dados Históricos'!Z34</f>
        <v>0.52042067461097496</v>
      </c>
      <c r="K5" s="131" t="s">
        <v>62</v>
      </c>
      <c r="L5" s="131" cm="1">
        <f t="array" ref="L5">INDEX($AA:$AA,20+$B$17-$B$18)*(1.01)</f>
        <v>27186540.43414741</v>
      </c>
      <c r="M5"/>
    </row>
    <row r="6" spans="1:13" x14ac:dyDescent="0.3">
      <c r="A6" t="s">
        <v>16</v>
      </c>
      <c r="B6" s="2">
        <f>1 -B5</f>
        <v>0.89574174362562997</v>
      </c>
      <c r="C6" s="1" t="s">
        <v>49</v>
      </c>
      <c r="E6" t="s">
        <v>90</v>
      </c>
      <c r="F6" s="13">
        <f>'1. Dados Históricos'!AI12</f>
        <v>0.41754344423243056</v>
      </c>
      <c r="G6" s="116">
        <f>'1. Dados Históricos'!AI23</f>
        <v>0.49504976406862211</v>
      </c>
      <c r="H6" s="116">
        <f>'1. Dados Históricos'!AB34</f>
        <v>0.4295783253890248</v>
      </c>
      <c r="K6" s="135" t="s">
        <v>6</v>
      </c>
      <c r="L6" s="136" cm="1">
        <f t="array" ref="L6">INDEX($Y:$Y,20+$B$17-$B$18)</f>
        <v>30917708.741606504</v>
      </c>
      <c r="M6"/>
    </row>
    <row r="7" spans="1:13" x14ac:dyDescent="0.3">
      <c r="A7" t="s">
        <v>17</v>
      </c>
      <c r="B7" s="2">
        <v>0.04</v>
      </c>
      <c r="C7" s="1" t="s">
        <v>50</v>
      </c>
      <c r="E7" t="s">
        <v>91</v>
      </c>
      <c r="F7" s="13">
        <f>'1. Dados Históricos'!AH12</f>
        <v>0.12000000000000002</v>
      </c>
      <c r="G7" s="116">
        <f>'1. Dados Históricos'!AH23</f>
        <v>0.14249999999999999</v>
      </c>
      <c r="H7" s="116">
        <f>'1. Dados Históricos'!AA34</f>
        <v>0.05</v>
      </c>
      <c r="K7" s="132" t="s">
        <v>9</v>
      </c>
      <c r="L7" s="132">
        <f>$L$6*$B$13</f>
        <v>1236708.3496642602</v>
      </c>
      <c r="M7"/>
    </row>
    <row r="8" spans="1:13" x14ac:dyDescent="0.3">
      <c r="A8" t="s">
        <v>18</v>
      </c>
      <c r="B8" s="2">
        <v>7.0000000000000007E-2</v>
      </c>
      <c r="C8" s="1" t="s">
        <v>51</v>
      </c>
      <c r="E8" t="s">
        <v>45</v>
      </c>
      <c r="F8" s="3">
        <v>0.6</v>
      </c>
      <c r="G8" s="3">
        <v>0.5</v>
      </c>
      <c r="H8" s="3">
        <v>0.55000000000000004</v>
      </c>
      <c r="I8" s="130" t="s">
        <v>114</v>
      </c>
      <c r="K8" s="133" t="s">
        <v>61</v>
      </c>
      <c r="L8" s="134">
        <f>$L$6-$L$7</f>
        <v>29681000.391942244</v>
      </c>
      <c r="M8"/>
    </row>
    <row r="9" spans="1:13" x14ac:dyDescent="0.3">
      <c r="A9" t="s">
        <v>19</v>
      </c>
      <c r="B9" s="2">
        <v>0.12</v>
      </c>
      <c r="C9" s="1" t="s">
        <v>52</v>
      </c>
      <c r="I9" s="3"/>
      <c r="J9" s="3"/>
      <c r="K9" s="3"/>
      <c r="L9"/>
      <c r="M9"/>
    </row>
    <row r="10" spans="1:13" x14ac:dyDescent="0.3">
      <c r="A10" t="s">
        <v>4</v>
      </c>
      <c r="B10" s="2">
        <v>0.02</v>
      </c>
      <c r="C10" s="1" t="s">
        <v>4</v>
      </c>
      <c r="D10"/>
      <c r="E10"/>
      <c r="F10"/>
      <c r="I10" s="3"/>
      <c r="J10" s="3"/>
      <c r="K10" s="3"/>
      <c r="M10"/>
    </row>
    <row r="11" spans="1:13" x14ac:dyDescent="0.3">
      <c r="A11" t="s">
        <v>20</v>
      </c>
      <c r="B11" s="2">
        <f>HLOOKUP($L$3,Tabela2[#All],3,FALSE)</f>
        <v>0.05</v>
      </c>
      <c r="C11" s="1" t="s">
        <v>53</v>
      </c>
      <c r="D11"/>
      <c r="I11" s="150"/>
      <c r="J11" s="3"/>
      <c r="K11" s="3"/>
      <c r="L11"/>
      <c r="M11"/>
    </row>
    <row r="12" spans="1:13" x14ac:dyDescent="0.3">
      <c r="A12" t="s">
        <v>21</v>
      </c>
      <c r="B12" s="2">
        <v>0.15</v>
      </c>
      <c r="C12" s="1" t="s">
        <v>54</v>
      </c>
      <c r="D12" s="130"/>
      <c r="E12"/>
      <c r="F12"/>
      <c r="J12" s="223" t="s">
        <v>139</v>
      </c>
      <c r="K12" s="217" t="s">
        <v>41</v>
      </c>
      <c r="L12" s="217" t="s">
        <v>138</v>
      </c>
      <c r="M12" s="217" t="s">
        <v>43</v>
      </c>
    </row>
    <row r="13" spans="1:13" x14ac:dyDescent="0.3">
      <c r="A13" t="s">
        <v>9</v>
      </c>
      <c r="B13" s="2">
        <v>0.04</v>
      </c>
      <c r="C13" s="1" t="s">
        <v>55</v>
      </c>
      <c r="D13"/>
      <c r="E13"/>
      <c r="F13"/>
      <c r="J13" s="217" t="s">
        <v>136</v>
      </c>
      <c r="K13" s="218">
        <v>66276821.924981289</v>
      </c>
      <c r="L13" s="218">
        <v>54370078.187286809</v>
      </c>
      <c r="M13" s="218">
        <v>27186540.43414741</v>
      </c>
    </row>
    <row r="14" spans="1:13" x14ac:dyDescent="0.3">
      <c r="A14" t="s">
        <v>22</v>
      </c>
      <c r="B14" s="1">
        <v>7</v>
      </c>
      <c r="C14" s="1" t="s">
        <v>23</v>
      </c>
      <c r="D14"/>
      <c r="E14"/>
      <c r="F14"/>
      <c r="J14" s="217" t="s">
        <v>6</v>
      </c>
      <c r="K14" s="218">
        <v>510743891.44718516</v>
      </c>
      <c r="L14" s="218">
        <v>81555954.903410196</v>
      </c>
      <c r="M14" s="218">
        <v>30917708.741606504</v>
      </c>
    </row>
    <row r="15" spans="1:13" x14ac:dyDescent="0.3">
      <c r="A15" t="s">
        <v>24</v>
      </c>
      <c r="B15" s="2">
        <f>HLOOKUP($L$3,Tabela2[#All],7,FALSE)</f>
        <v>0.55000000000000004</v>
      </c>
      <c r="C15" s="1" t="s">
        <v>25</v>
      </c>
      <c r="D15"/>
      <c r="E15"/>
      <c r="F15"/>
      <c r="J15" s="217" t="s">
        <v>9</v>
      </c>
      <c r="K15" s="218">
        <v>20429755.657887407</v>
      </c>
      <c r="L15" s="218">
        <v>3262238.196136408</v>
      </c>
      <c r="M15" s="218">
        <v>1236708.3496642602</v>
      </c>
    </row>
    <row r="16" spans="1:13" x14ac:dyDescent="0.3">
      <c r="A16" t="s">
        <v>7</v>
      </c>
      <c r="B16" s="11">
        <v>20000000</v>
      </c>
      <c r="C16" s="1" t="s">
        <v>56</v>
      </c>
      <c r="D16"/>
      <c r="E16"/>
      <c r="F16"/>
      <c r="J16" s="221" t="s">
        <v>137</v>
      </c>
      <c r="K16" s="222">
        <v>490314135.78929776</v>
      </c>
      <c r="L16" s="222">
        <v>78293716.707273781</v>
      </c>
      <c r="M16" s="222">
        <v>29681000.391942244</v>
      </c>
    </row>
    <row r="17" spans="1:27" x14ac:dyDescent="0.3">
      <c r="A17" t="s">
        <v>57</v>
      </c>
      <c r="B17" s="1">
        <v>90</v>
      </c>
      <c r="C17" s="1" t="s">
        <v>58</v>
      </c>
      <c r="D17"/>
      <c r="E17"/>
      <c r="F17"/>
      <c r="J17" s="219" t="s">
        <v>128</v>
      </c>
      <c r="K17" s="220">
        <v>-0.34</v>
      </c>
      <c r="L17" s="220">
        <v>-0.33</v>
      </c>
      <c r="M17" s="220">
        <v>-0.55000000000000004</v>
      </c>
      <c r="O17" s="5"/>
    </row>
    <row r="18" spans="1:27" x14ac:dyDescent="0.3">
      <c r="A18" t="s">
        <v>10</v>
      </c>
      <c r="B18" s="1">
        <f>HLOOKUP($L$3,Tabela2[#All],2,FALSE)</f>
        <v>75</v>
      </c>
      <c r="C18" s="1" t="s">
        <v>59</v>
      </c>
      <c r="D18"/>
      <c r="E18"/>
      <c r="F18"/>
      <c r="J18" s="224" t="s">
        <v>140</v>
      </c>
      <c r="K18" s="225">
        <v>7.2457224164354983</v>
      </c>
      <c r="L18" s="225">
        <v>2.6884297377307678</v>
      </c>
      <c r="M18" s="225">
        <v>2.1951271876703493</v>
      </c>
    </row>
    <row r="19" spans="1:27" x14ac:dyDescent="0.3">
      <c r="B19" s="1"/>
      <c r="C19" s="1"/>
      <c r="D19"/>
      <c r="E19"/>
      <c r="F19"/>
      <c r="I19" s="6"/>
      <c r="K19"/>
      <c r="L19"/>
      <c r="M19"/>
    </row>
    <row r="20" spans="1:27" ht="28.8" x14ac:dyDescent="0.3">
      <c r="A20" s="137" t="s">
        <v>5</v>
      </c>
      <c r="B20" s="138" t="s">
        <v>7</v>
      </c>
      <c r="C20" s="138" t="s">
        <v>36</v>
      </c>
      <c r="D20" s="138" t="s">
        <v>26</v>
      </c>
      <c r="E20" s="138" t="s">
        <v>28</v>
      </c>
      <c r="F20" s="138" t="s">
        <v>29</v>
      </c>
      <c r="G20" s="139" t="s">
        <v>30</v>
      </c>
      <c r="H20" s="139" t="s">
        <v>31</v>
      </c>
      <c r="I20" s="139" t="s">
        <v>32</v>
      </c>
      <c r="J20" s="139" t="s">
        <v>27</v>
      </c>
      <c r="K20" s="139" t="s">
        <v>123</v>
      </c>
      <c r="L20" s="139" t="s">
        <v>124</v>
      </c>
      <c r="M20" s="139" t="s">
        <v>117</v>
      </c>
      <c r="N20" s="139" t="s">
        <v>116</v>
      </c>
      <c r="O20" s="139" t="s">
        <v>119</v>
      </c>
      <c r="P20" s="139" t="s">
        <v>120</v>
      </c>
      <c r="Q20" s="139" t="s">
        <v>121</v>
      </c>
      <c r="R20" s="139" t="s">
        <v>122</v>
      </c>
      <c r="S20" s="139" t="s">
        <v>8</v>
      </c>
      <c r="T20" s="139" t="s">
        <v>38</v>
      </c>
      <c r="U20" s="139" t="s">
        <v>37</v>
      </c>
      <c r="V20" s="139" t="s">
        <v>39</v>
      </c>
      <c r="W20" s="139" t="s">
        <v>118</v>
      </c>
      <c r="X20" s="139" t="s">
        <v>35</v>
      </c>
      <c r="Y20" s="139" t="s">
        <v>6</v>
      </c>
      <c r="Z20" s="139" t="s">
        <v>33</v>
      </c>
      <c r="AA20" s="139" t="s">
        <v>34</v>
      </c>
    </row>
    <row r="21" spans="1:27" x14ac:dyDescent="0.3">
      <c r="A21" cm="1">
        <f t="array" ref="A21:A90">_xlfn.SEQUENCE(70,,,1)</f>
        <v>1</v>
      </c>
      <c r="B21" s="4">
        <f t="shared" ref="B21:B52" si="0">IF($A21=1,$B$16,Y20)</f>
        <v>20000000</v>
      </c>
      <c r="C21" s="4">
        <f t="shared" ref="C21:C52" si="1">IF(OR($A21=1, MOD($A21,7)=1),$B$4*$B21, I20+T20+J20+U20-(S20+X20))</f>
        <v>9591586.5077805016</v>
      </c>
      <c r="D21" s="4">
        <f t="shared" ref="D21:D52" si="2">IF(OR($A21=1, MOD($A21,7)=1),$B$3*$B21, D20+V20)</f>
        <v>10408413.492219498</v>
      </c>
      <c r="E21" s="8">
        <f>C21/B21</f>
        <v>0.47957932538902509</v>
      </c>
      <c r="F21" s="8">
        <f>D21/B21</f>
        <v>0.52042067461097496</v>
      </c>
      <c r="G21" s="9">
        <f>MAX(0.05, $B$5 * EXP(-LN(2) * MAX(0, F21 - $B$15) / 0.1))</f>
        <v>0.10425825637437004</v>
      </c>
      <c r="H21" s="10">
        <f t="shared" ref="H21" si="3">1-G21</f>
        <v>0.89574174362562997</v>
      </c>
      <c r="I21" s="5">
        <f>C21*G21</f>
        <v>1000002.0851651282</v>
      </c>
      <c r="J21" s="7">
        <f>C21*H21</f>
        <v>8591584.4226153735</v>
      </c>
      <c r="K21" s="8">
        <f t="shared" ref="K21:K52" si="4">- ((I21+T21)/$W21 - MAX(0.05, $B$5 * EXP(-LN(2) * MAX(0, (($D21+$V21)/($B21+$T21+$U21+$V21-$S21)) - $B$15) / 0.1)))</f>
        <v>-1.2444299113363158E-2</v>
      </c>
      <c r="L21" s="8">
        <f t="shared" ref="L21:L52" si="5">- ((J21+U21)/$W21 - (1 - MAX(0.05, $B$5 * EXP(-LN(2) * MAX(0, (($D21+$V21)/($B21+$T21+$U21+$V21-$S21)) - $B$15) / 0.1))))</f>
        <v>1.2444299113363089E-2</v>
      </c>
      <c r="M21" s="4">
        <f t="shared" ref="M21:M52" si="6">IF(OR($A21=1, MOD($A21,7)=1), I21, (M20 * MIN(1, 1+(K21/G21))) + ($C21)*(MAX((K21),0))) - G21*$S21</f>
        <v>895743.82879075815</v>
      </c>
      <c r="N21" s="4">
        <f t="shared" ref="N21:N52" si="7">IF(OR($A21=1, MOD($A21,7)=1), J21, (N20 * MIN(1, 1+(L21/H21))) + ($C21)*(MAX((L21),0))) - H21*$S21</f>
        <v>7695842.6789897438</v>
      </c>
      <c r="O21" s="149">
        <f t="shared" ref="O21:O52" si="8">(I21+T21) - M21 - (G21*$S21)</f>
        <v>70000.145961559057</v>
      </c>
      <c r="P21" s="149">
        <f t="shared" ref="P21:P52" si="9">(J21+U21) - N21 - (H21*$S21)</f>
        <v>343663.37690461404</v>
      </c>
      <c r="Q21" s="152">
        <f t="shared" ref="Q21:Q52" si="10">IF(MOD($A21,7)=0,O21, MAX(0,(-K21 + S21/(I21+T21))*O21))</f>
        <v>66291.663501988354</v>
      </c>
      <c r="R21" s="152">
        <f t="shared" ref="R21:R52" si="11">IF(MOD($A21,7)=0,P21, MAX(0,(-L21 + T21/(J21+U21))*P21))</f>
        <v>0</v>
      </c>
      <c r="S21" s="140">
        <f>$B$11*B21</f>
        <v>1000000</v>
      </c>
      <c r="T21" s="134">
        <f>I21*$B$8</f>
        <v>70000.145961558985</v>
      </c>
      <c r="U21" s="134">
        <f>J21*$B$7</f>
        <v>343663.37690461497</v>
      </c>
      <c r="V21" s="134">
        <f>D21*$B$9</f>
        <v>1249009.6190663397</v>
      </c>
      <c r="W21" s="5">
        <f>C21+U21+T21</f>
        <v>10005250.030646674</v>
      </c>
      <c r="X21" s="140">
        <f t="shared" ref="X21:X52" si="12">0.15 * (Q21+R21+ IF(MOD(A21,7)=0,SUM(V15:V21),0))</f>
        <v>9943.7495252982535</v>
      </c>
      <c r="Y21" s="141">
        <f>B21+U21+T21+V21-X21-S21</f>
        <v>20652729.392407216</v>
      </c>
      <c r="Z21" s="12">
        <f t="shared" ref="Z21:Z52" si="13">((1 +$B$10)^$A21) - 1</f>
        <v>2.0000000000000018E-2</v>
      </c>
      <c r="AA21" s="5">
        <f>$B$16 * (1 + Z21)</f>
        <v>20400000</v>
      </c>
    </row>
    <row r="22" spans="1:27" x14ac:dyDescent="0.3">
      <c r="A22">
        <v>2</v>
      </c>
      <c r="B22" s="4">
        <f t="shared" si="0"/>
        <v>20652729.392407216</v>
      </c>
      <c r="C22" s="4">
        <f t="shared" si="1"/>
        <v>8995306.2811213769</v>
      </c>
      <c r="D22" s="4">
        <f t="shared" si="2"/>
        <v>11657423.111285837</v>
      </c>
      <c r="E22" s="8">
        <f t="shared" ref="E22:E85" si="14">C22/B22</f>
        <v>0.43555048391949674</v>
      </c>
      <c r="F22" s="8">
        <f t="shared" ref="F22:F85" si="15">D22/B22</f>
        <v>0.5644495160805032</v>
      </c>
      <c r="G22" s="9">
        <f t="shared" ref="G22:G85" si="16">MAX(0.05, $B$5 * EXP(-LN(2) * MAX(0, F22 - $B$15) / 0.1))</f>
        <v>9.4322017133331174E-2</v>
      </c>
      <c r="H22" s="10">
        <f t="shared" ref="H22:H85" si="17">1-G22</f>
        <v>0.90567798286666878</v>
      </c>
      <c r="I22" s="5">
        <f t="shared" ref="I22:I85" si="18">C22*G22</f>
        <v>848455.43316749204</v>
      </c>
      <c r="J22" s="7">
        <f t="shared" ref="J22:J85" si="19">C22*H22</f>
        <v>8146850.8479538849</v>
      </c>
      <c r="K22" s="8">
        <f t="shared" si="4"/>
        <v>-2.7988525997683159E-2</v>
      </c>
      <c r="L22" s="8">
        <f t="shared" si="5"/>
        <v>2.7988525997683089E-2</v>
      </c>
      <c r="M22" s="4">
        <f t="shared" si="6"/>
        <v>532546.04726639017</v>
      </c>
      <c r="N22" s="4">
        <f t="shared" si="7"/>
        <v>7012371.9278557049</v>
      </c>
      <c r="O22" s="149">
        <f t="shared" si="8"/>
        <v>277900.91144279204</v>
      </c>
      <c r="P22" s="149">
        <f t="shared" si="9"/>
        <v>525116.83917600976</v>
      </c>
      <c r="Q22" s="152">
        <f t="shared" si="10"/>
        <v>323878.12533858372</v>
      </c>
      <c r="R22" s="152">
        <f t="shared" si="11"/>
        <v>0</v>
      </c>
      <c r="S22" s="140">
        <f t="shared" ref="S22:S85" si="20">$B$11*B22</f>
        <v>1032636.4696203609</v>
      </c>
      <c r="T22" s="134">
        <f t="shared" ref="T22:T85" si="21">I22*$B$8</f>
        <v>59391.880321724449</v>
      </c>
      <c r="U22" s="134">
        <f t="shared" ref="U22:U85" si="22">J22*$B$7</f>
        <v>325874.03391815542</v>
      </c>
      <c r="V22" s="134">
        <f t="shared" ref="V22:V85" si="23">D22*$B$9</f>
        <v>1398890.7733543005</v>
      </c>
      <c r="W22" s="5">
        <f t="shared" ref="W22:W85" si="24">C22+U22+T22</f>
        <v>9380572.1953612566</v>
      </c>
      <c r="X22" s="140">
        <f t="shared" si="12"/>
        <v>48581.718800787559</v>
      </c>
      <c r="Y22" s="141">
        <f t="shared" ref="Y22:Y85" si="25">B22+U22+T22+V22-X22-S22</f>
        <v>21355667.89158025</v>
      </c>
      <c r="Z22" s="12">
        <f t="shared" si="13"/>
        <v>4.0399999999999991E-2</v>
      </c>
      <c r="AA22" s="5">
        <f t="shared" ref="AA22:AA85" si="26">$B$16 * (1 + Z22)</f>
        <v>20808000</v>
      </c>
    </row>
    <row r="23" spans="1:27" x14ac:dyDescent="0.3">
      <c r="A23">
        <v>3</v>
      </c>
      <c r="B23" s="4">
        <f t="shared" si="0"/>
        <v>21355667.89158025</v>
      </c>
      <c r="C23" s="4">
        <f t="shared" si="1"/>
        <v>8299354.0069401078</v>
      </c>
      <c r="D23" s="4">
        <f t="shared" si="2"/>
        <v>13056313.884640139</v>
      </c>
      <c r="E23" s="8">
        <f t="shared" si="14"/>
        <v>0.38862535459320552</v>
      </c>
      <c r="F23" s="8">
        <f t="shared" si="15"/>
        <v>0.61137464540679431</v>
      </c>
      <c r="G23" s="9">
        <f t="shared" si="16"/>
        <v>6.8132506301975634E-2</v>
      </c>
      <c r="H23" s="10">
        <f t="shared" si="17"/>
        <v>0.93186749369802435</v>
      </c>
      <c r="I23" s="5">
        <f t="shared" si="18"/>
        <v>565455.78918017366</v>
      </c>
      <c r="J23" s="7">
        <f t="shared" si="19"/>
        <v>7733898.2177599343</v>
      </c>
      <c r="K23" s="8">
        <f t="shared" si="4"/>
        <v>-1.9960369695422184E-2</v>
      </c>
      <c r="L23" s="8">
        <f t="shared" si="5"/>
        <v>1.9960369695422142E-2</v>
      </c>
      <c r="M23" s="4">
        <f t="shared" si="6"/>
        <v>303778.48291592347</v>
      </c>
      <c r="N23" s="4">
        <f t="shared" si="7"/>
        <v>6182997.4663486993</v>
      </c>
      <c r="O23" s="149">
        <f t="shared" si="8"/>
        <v>228508.4526465628</v>
      </c>
      <c r="P23" s="149">
        <f t="shared" si="9"/>
        <v>865224.04440291913</v>
      </c>
      <c r="Q23" s="152">
        <f t="shared" si="10"/>
        <v>407837.69167119829</v>
      </c>
      <c r="R23" s="152">
        <f t="shared" si="11"/>
        <v>0</v>
      </c>
      <c r="S23" s="140">
        <f t="shared" si="20"/>
        <v>1067783.3945790126</v>
      </c>
      <c r="T23" s="134">
        <f t="shared" si="21"/>
        <v>39581.905242612156</v>
      </c>
      <c r="U23" s="134">
        <f t="shared" si="22"/>
        <v>309355.92871039739</v>
      </c>
      <c r="V23" s="134">
        <f t="shared" si="23"/>
        <v>1566757.6661568165</v>
      </c>
      <c r="W23" s="5">
        <f t="shared" si="24"/>
        <v>8648291.8408931177</v>
      </c>
      <c r="X23" s="140">
        <f t="shared" si="12"/>
        <v>61175.653750679739</v>
      </c>
      <c r="Y23" s="141">
        <f t="shared" si="25"/>
        <v>22142404.343360383</v>
      </c>
      <c r="Z23" s="12">
        <f t="shared" si="13"/>
        <v>6.1207999999999929E-2</v>
      </c>
      <c r="AA23" s="5">
        <f t="shared" si="26"/>
        <v>21224160</v>
      </c>
    </row>
    <row r="24" spans="1:27" x14ac:dyDescent="0.3">
      <c r="A24">
        <v>4</v>
      </c>
      <c r="B24" s="4">
        <f t="shared" si="0"/>
        <v>22142404.343360383</v>
      </c>
      <c r="C24" s="4">
        <f t="shared" si="1"/>
        <v>7519332.7925634254</v>
      </c>
      <c r="D24" s="4">
        <f t="shared" si="2"/>
        <v>14623071.550796956</v>
      </c>
      <c r="E24" s="8">
        <f t="shared" si="14"/>
        <v>0.33958971555038786</v>
      </c>
      <c r="F24" s="8">
        <f t="shared" si="15"/>
        <v>0.66041028444961203</v>
      </c>
      <c r="G24" s="9">
        <f t="shared" si="16"/>
        <v>0.05</v>
      </c>
      <c r="H24" s="10">
        <f t="shared" si="17"/>
        <v>0.95</v>
      </c>
      <c r="I24" s="5">
        <f t="shared" si="18"/>
        <v>375966.63962817128</v>
      </c>
      <c r="J24" s="7">
        <f t="shared" si="19"/>
        <v>7143366.1529352535</v>
      </c>
      <c r="K24" s="8">
        <f t="shared" si="4"/>
        <v>-1.3682189150264062E-3</v>
      </c>
      <c r="L24" s="8">
        <f t="shared" si="5"/>
        <v>1.3682189150263646E-3</v>
      </c>
      <c r="M24" s="4">
        <f t="shared" si="6"/>
        <v>240109.76273145067</v>
      </c>
      <c r="N24" s="4">
        <f t="shared" si="7"/>
        <v>5141521.3533942439</v>
      </c>
      <c r="O24" s="149">
        <f t="shared" si="8"/>
        <v>106818.53081229166</v>
      </c>
      <c r="P24" s="149">
        <f t="shared" si="9"/>
        <v>1235815.2393488011</v>
      </c>
      <c r="Q24" s="152">
        <f t="shared" si="10"/>
        <v>294119.72588323365</v>
      </c>
      <c r="R24" s="152">
        <f t="shared" si="11"/>
        <v>2687.0222076896757</v>
      </c>
      <c r="S24" s="140">
        <f t="shared" si="20"/>
        <v>1107120.2171680192</v>
      </c>
      <c r="T24" s="134">
        <f t="shared" si="21"/>
        <v>26317.664773971992</v>
      </c>
      <c r="U24" s="134">
        <f t="shared" si="22"/>
        <v>285734.64611741016</v>
      </c>
      <c r="V24" s="134">
        <f t="shared" si="23"/>
        <v>1754768.5860956346</v>
      </c>
      <c r="W24" s="5">
        <f t="shared" si="24"/>
        <v>7831385.1034548068</v>
      </c>
      <c r="X24" s="140">
        <f t="shared" si="12"/>
        <v>44521.012213638503</v>
      </c>
      <c r="Y24" s="141">
        <f t="shared" si="25"/>
        <v>23057584.010965742</v>
      </c>
      <c r="Z24" s="12">
        <f t="shared" si="13"/>
        <v>8.2432159999999977E-2</v>
      </c>
      <c r="AA24" s="5">
        <f t="shared" si="26"/>
        <v>21648643.199999999</v>
      </c>
    </row>
    <row r="25" spans="1:27" x14ac:dyDescent="0.3">
      <c r="A25">
        <v>5</v>
      </c>
      <c r="B25" s="4">
        <f t="shared" si="0"/>
        <v>23057584.010965742</v>
      </c>
      <c r="C25" s="4">
        <f t="shared" si="1"/>
        <v>6679743.8740731496</v>
      </c>
      <c r="D25" s="4">
        <f t="shared" si="2"/>
        <v>16377840.136892591</v>
      </c>
      <c r="E25" s="8">
        <f t="shared" si="14"/>
        <v>0.28969834267529471</v>
      </c>
      <c r="F25" s="8">
        <f t="shared" si="15"/>
        <v>0.71030165732470518</v>
      </c>
      <c r="G25" s="9">
        <f t="shared" si="16"/>
        <v>0.05</v>
      </c>
      <c r="H25" s="10">
        <f t="shared" si="17"/>
        <v>0.95</v>
      </c>
      <c r="I25" s="5">
        <f t="shared" si="18"/>
        <v>333987.19370365748</v>
      </c>
      <c r="J25" s="7">
        <f t="shared" si="19"/>
        <v>6345756.6803694917</v>
      </c>
      <c r="K25" s="8">
        <f t="shared" si="4"/>
        <v>-1.3682189150263993E-3</v>
      </c>
      <c r="L25" s="8">
        <f t="shared" si="5"/>
        <v>1.3682189150263646E-3</v>
      </c>
      <c r="M25" s="4">
        <f t="shared" si="6"/>
        <v>175895.34832300287</v>
      </c>
      <c r="N25" s="4">
        <f t="shared" si="7"/>
        <v>4055425.4647894092</v>
      </c>
      <c r="O25" s="149">
        <f t="shared" si="8"/>
        <v>123826.98891249625</v>
      </c>
      <c r="P25" s="149">
        <f t="shared" si="9"/>
        <v>1448926.2422739894</v>
      </c>
      <c r="Q25" s="152">
        <f t="shared" si="10"/>
        <v>399640.66825413989</v>
      </c>
      <c r="R25" s="152">
        <f t="shared" si="11"/>
        <v>3150.38758734363</v>
      </c>
      <c r="S25" s="140">
        <f t="shared" si="20"/>
        <v>1152879.2005482872</v>
      </c>
      <c r="T25" s="134">
        <f t="shared" si="21"/>
        <v>23379.103559256026</v>
      </c>
      <c r="U25" s="134">
        <f t="shared" si="22"/>
        <v>253830.26721477968</v>
      </c>
      <c r="V25" s="134">
        <f t="shared" si="23"/>
        <v>1965340.8164271107</v>
      </c>
      <c r="W25" s="5">
        <f t="shared" si="24"/>
        <v>6956953.244847185</v>
      </c>
      <c r="X25" s="140">
        <f t="shared" si="12"/>
        <v>60418.658376222527</v>
      </c>
      <c r="Y25" s="141">
        <f t="shared" si="25"/>
        <v>24086836.339242376</v>
      </c>
      <c r="Z25" s="12">
        <f t="shared" si="13"/>
        <v>0.10408080320000002</v>
      </c>
      <c r="AA25" s="5">
        <f t="shared" si="26"/>
        <v>22081616.063999999</v>
      </c>
    </row>
    <row r="26" spans="1:27" x14ac:dyDescent="0.3">
      <c r="A26">
        <v>6</v>
      </c>
      <c r="B26" s="4">
        <f t="shared" si="0"/>
        <v>24086836.339242376</v>
      </c>
      <c r="C26" s="4">
        <f t="shared" si="1"/>
        <v>5743655.385922675</v>
      </c>
      <c r="D26" s="4">
        <f t="shared" si="2"/>
        <v>18343180.953319702</v>
      </c>
      <c r="E26" s="8">
        <f t="shared" si="14"/>
        <v>0.23845619678019264</v>
      </c>
      <c r="F26" s="8">
        <f t="shared" si="15"/>
        <v>0.76154380321980741</v>
      </c>
      <c r="G26" s="9">
        <f t="shared" si="16"/>
        <v>0.05</v>
      </c>
      <c r="H26" s="10">
        <f t="shared" si="17"/>
        <v>0.95</v>
      </c>
      <c r="I26" s="5">
        <f t="shared" si="18"/>
        <v>287182.76929613377</v>
      </c>
      <c r="J26" s="7">
        <f t="shared" si="19"/>
        <v>5456472.6166265411</v>
      </c>
      <c r="K26" s="8">
        <f t="shared" si="4"/>
        <v>-1.3682189150264062E-3</v>
      </c>
      <c r="L26" s="8">
        <f t="shared" si="5"/>
        <v>1.3682189150263646E-3</v>
      </c>
      <c r="M26" s="4">
        <f t="shared" si="6"/>
        <v>110864.99062208307</v>
      </c>
      <c r="N26" s="4">
        <f t="shared" si="7"/>
        <v>2919159.3166158088</v>
      </c>
      <c r="O26" s="149">
        <f t="shared" si="8"/>
        <v>136203.4816766741</v>
      </c>
      <c r="P26" s="149">
        <f t="shared" si="9"/>
        <v>1611447.4785617806</v>
      </c>
      <c r="Q26" s="152">
        <f t="shared" si="10"/>
        <v>534007.55792851781</v>
      </c>
      <c r="R26" s="152">
        <f t="shared" si="11"/>
        <v>3503.7560822624905</v>
      </c>
      <c r="S26" s="140">
        <f t="shared" si="20"/>
        <v>1204341.816962119</v>
      </c>
      <c r="T26" s="134">
        <f t="shared" si="21"/>
        <v>20102.793850729366</v>
      </c>
      <c r="U26" s="134">
        <f t="shared" si="22"/>
        <v>218258.90466506165</v>
      </c>
      <c r="V26" s="134">
        <f t="shared" si="23"/>
        <v>2201181.7143983641</v>
      </c>
      <c r="W26" s="5">
        <f t="shared" si="24"/>
        <v>5982017.0844384655</v>
      </c>
      <c r="X26" s="140">
        <f t="shared" si="12"/>
        <v>80626.697101617043</v>
      </c>
      <c r="Y26" s="141">
        <f t="shared" si="25"/>
        <v>25241411.238092799</v>
      </c>
      <c r="Z26" s="12">
        <f t="shared" si="13"/>
        <v>0.12616241926400007</v>
      </c>
      <c r="AA26" s="5">
        <f t="shared" si="26"/>
        <v>22523248.385280002</v>
      </c>
    </row>
    <row r="27" spans="1:27" x14ac:dyDescent="0.3">
      <c r="A27">
        <v>7</v>
      </c>
      <c r="B27" s="4">
        <f t="shared" si="0"/>
        <v>25241411.238092799</v>
      </c>
      <c r="C27" s="4">
        <f t="shared" si="1"/>
        <v>4697048.5703747291</v>
      </c>
      <c r="D27" s="4">
        <f t="shared" si="2"/>
        <v>20544362.667718068</v>
      </c>
      <c r="E27" s="8">
        <f t="shared" si="14"/>
        <v>0.18608502219108217</v>
      </c>
      <c r="F27" s="8">
        <f t="shared" si="15"/>
        <v>0.81391497780891775</v>
      </c>
      <c r="G27" s="9">
        <f t="shared" si="16"/>
        <v>0.05</v>
      </c>
      <c r="H27" s="10">
        <f t="shared" si="17"/>
        <v>0.95</v>
      </c>
      <c r="I27" s="5">
        <f t="shared" si="18"/>
        <v>234852.42851873647</v>
      </c>
      <c r="J27" s="7">
        <f t="shared" si="19"/>
        <v>4462196.1418559924</v>
      </c>
      <c r="K27" s="8">
        <f t="shared" si="4"/>
        <v>-1.3682189150263993E-3</v>
      </c>
      <c r="L27" s="8">
        <f t="shared" si="5"/>
        <v>1.3682189150264756E-3</v>
      </c>
      <c r="M27" s="4">
        <f t="shared" si="6"/>
        <v>44727.710983183904</v>
      </c>
      <c r="N27" s="4">
        <f t="shared" si="7"/>
        <v>1726618.8735051856</v>
      </c>
      <c r="O27" s="149">
        <f t="shared" si="8"/>
        <v>143460.85943663213</v>
      </c>
      <c r="P27" s="149">
        <f t="shared" si="9"/>
        <v>1715098.0802156392</v>
      </c>
      <c r="Q27" s="152">
        <f t="shared" si="10"/>
        <v>143460.85943663213</v>
      </c>
      <c r="R27" s="152">
        <f t="shared" si="11"/>
        <v>1715098.0802156392</v>
      </c>
      <c r="S27" s="140">
        <f t="shared" si="20"/>
        <v>1262070.5619046399</v>
      </c>
      <c r="T27" s="134">
        <f t="shared" si="21"/>
        <v>16439.669996311553</v>
      </c>
      <c r="U27" s="134">
        <f t="shared" si="22"/>
        <v>178487.84567423971</v>
      </c>
      <c r="V27" s="134">
        <f t="shared" si="23"/>
        <v>2465323.5201261682</v>
      </c>
      <c r="W27" s="5">
        <f t="shared" si="24"/>
        <v>4891976.086045281</v>
      </c>
      <c r="X27" s="140">
        <f t="shared" si="12"/>
        <v>2168974.7452915506</v>
      </c>
      <c r="Y27" s="141">
        <f t="shared" si="25"/>
        <v>24470616.966693327</v>
      </c>
      <c r="Z27" s="12">
        <f t="shared" si="13"/>
        <v>0.14868566764927982</v>
      </c>
      <c r="AA27" s="5">
        <f t="shared" si="26"/>
        <v>22973713.352985598</v>
      </c>
    </row>
    <row r="28" spans="1:27" x14ac:dyDescent="0.3">
      <c r="A28">
        <v>8</v>
      </c>
      <c r="B28" s="4">
        <f t="shared" si="0"/>
        <v>24470616.966693327</v>
      </c>
      <c r="C28" s="4">
        <f t="shared" si="1"/>
        <v>11735601.976740016</v>
      </c>
      <c r="D28" s="4">
        <f t="shared" si="2"/>
        <v>12735014.989953311</v>
      </c>
      <c r="E28" s="8">
        <f t="shared" si="14"/>
        <v>0.47957932538902504</v>
      </c>
      <c r="F28" s="8">
        <f t="shared" si="15"/>
        <v>0.52042067461097496</v>
      </c>
      <c r="G28" s="9">
        <f t="shared" si="16"/>
        <v>0.10425825637437004</v>
      </c>
      <c r="H28" s="10">
        <f t="shared" si="17"/>
        <v>0.89574174362562997</v>
      </c>
      <c r="I28" s="5">
        <f t="shared" si="18"/>
        <v>1223533.3995985244</v>
      </c>
      <c r="J28" s="7">
        <f t="shared" si="19"/>
        <v>10512068.577141492</v>
      </c>
      <c r="K28" s="8">
        <f t="shared" si="4"/>
        <v>-1.2444299113363269E-2</v>
      </c>
      <c r="L28" s="8">
        <f t="shared" si="5"/>
        <v>1.24442991133632E-2</v>
      </c>
      <c r="M28" s="4">
        <f t="shared" si="6"/>
        <v>1095970.2067308982</v>
      </c>
      <c r="N28" s="4">
        <f t="shared" si="7"/>
        <v>9416100.9216744509</v>
      </c>
      <c r="O28" s="149">
        <f t="shared" si="8"/>
        <v>85647.337971896719</v>
      </c>
      <c r="P28" s="149">
        <f t="shared" si="9"/>
        <v>420482.74308566074</v>
      </c>
      <c r="Q28" s="152">
        <f t="shared" si="10"/>
        <v>81109.895282103971</v>
      </c>
      <c r="R28" s="152">
        <f t="shared" si="11"/>
        <v>0</v>
      </c>
      <c r="S28" s="140">
        <f t="shared" si="20"/>
        <v>1223530.8483346663</v>
      </c>
      <c r="T28" s="134">
        <f t="shared" si="21"/>
        <v>85647.337971896719</v>
      </c>
      <c r="U28" s="134">
        <f t="shared" si="22"/>
        <v>420482.74308565969</v>
      </c>
      <c r="V28" s="134">
        <f t="shared" si="23"/>
        <v>1528201.7987943974</v>
      </c>
      <c r="W28" s="5">
        <f t="shared" si="24"/>
        <v>12241732.057797572</v>
      </c>
      <c r="X28" s="140">
        <f t="shared" si="12"/>
        <v>12166.484292315596</v>
      </c>
      <c r="Y28" s="141">
        <f t="shared" si="25"/>
        <v>25269251.513918296</v>
      </c>
      <c r="Z28" s="12">
        <f t="shared" si="13"/>
        <v>0.17165938100226552</v>
      </c>
      <c r="AA28" s="5">
        <f t="shared" si="26"/>
        <v>23433187.620045312</v>
      </c>
    </row>
    <row r="29" spans="1:27" x14ac:dyDescent="0.3">
      <c r="A29">
        <v>9</v>
      </c>
      <c r="B29" s="4">
        <f t="shared" si="0"/>
        <v>25269251.513918296</v>
      </c>
      <c r="C29" s="4">
        <f t="shared" si="1"/>
        <v>11006034.725170592</v>
      </c>
      <c r="D29" s="4">
        <f t="shared" si="2"/>
        <v>14263216.788747709</v>
      </c>
      <c r="E29" s="8">
        <f t="shared" si="14"/>
        <v>0.43555048391949686</v>
      </c>
      <c r="F29" s="8">
        <f t="shared" si="15"/>
        <v>0.56444951608050342</v>
      </c>
      <c r="G29" s="9">
        <f t="shared" si="16"/>
        <v>9.4322017133331021E-2</v>
      </c>
      <c r="H29" s="10">
        <f t="shared" si="17"/>
        <v>0.90567798286666901</v>
      </c>
      <c r="I29" s="5">
        <f t="shared" si="18"/>
        <v>1038111.3959175767</v>
      </c>
      <c r="J29" s="7">
        <f t="shared" si="19"/>
        <v>9967923.329253016</v>
      </c>
      <c r="K29" s="8">
        <f t="shared" si="4"/>
        <v>-2.7988525997683061E-2</v>
      </c>
      <c r="L29" s="8">
        <f t="shared" si="5"/>
        <v>2.7988525997682867E-2</v>
      </c>
      <c r="M29" s="4">
        <f t="shared" si="6"/>
        <v>651586.51698912017</v>
      </c>
      <c r="N29" s="4">
        <f t="shared" si="7"/>
        <v>8579853.3737274855</v>
      </c>
      <c r="O29" s="149">
        <f t="shared" si="8"/>
        <v>340020.33793057431</v>
      </c>
      <c r="P29" s="149">
        <f t="shared" si="9"/>
        <v>642496.65171184926</v>
      </c>
      <c r="Q29" s="152">
        <f t="shared" si="10"/>
        <v>396274.87745255698</v>
      </c>
      <c r="R29" s="152">
        <f t="shared" si="11"/>
        <v>0</v>
      </c>
      <c r="S29" s="140">
        <f t="shared" si="20"/>
        <v>1263462.5756959149</v>
      </c>
      <c r="T29" s="134">
        <f t="shared" si="21"/>
        <v>72667.797714230372</v>
      </c>
      <c r="U29" s="134">
        <f t="shared" si="22"/>
        <v>398716.93317012064</v>
      </c>
      <c r="V29" s="134">
        <f t="shared" si="23"/>
        <v>1711586.0146497251</v>
      </c>
      <c r="W29" s="5">
        <f t="shared" si="24"/>
        <v>11477419.456054943</v>
      </c>
      <c r="X29" s="140">
        <f t="shared" si="12"/>
        <v>59441.231617883546</v>
      </c>
      <c r="Y29" s="141">
        <f t="shared" si="25"/>
        <v>26129318.452138577</v>
      </c>
      <c r="Z29" s="12">
        <f t="shared" si="13"/>
        <v>0.19509256862231084</v>
      </c>
      <c r="AA29" s="5">
        <f t="shared" si="26"/>
        <v>23901851.372446217</v>
      </c>
    </row>
    <row r="30" spans="1:27" x14ac:dyDescent="0.3">
      <c r="A30">
        <v>10</v>
      </c>
      <c r="B30" s="4">
        <f t="shared" si="0"/>
        <v>26129318.452138577</v>
      </c>
      <c r="C30" s="4">
        <f t="shared" si="1"/>
        <v>10154515.648741147</v>
      </c>
      <c r="D30" s="4">
        <f t="shared" si="2"/>
        <v>15974802.803397434</v>
      </c>
      <c r="E30" s="8">
        <f t="shared" si="14"/>
        <v>0.38862535459320569</v>
      </c>
      <c r="F30" s="8">
        <f t="shared" si="15"/>
        <v>0.61137464540679443</v>
      </c>
      <c r="G30" s="9">
        <f t="shared" si="16"/>
        <v>6.8132506301975579E-2</v>
      </c>
      <c r="H30" s="10">
        <f t="shared" si="17"/>
        <v>0.93186749369802446</v>
      </c>
      <c r="I30" s="5">
        <f t="shared" si="18"/>
        <v>691852.60143136582</v>
      </c>
      <c r="J30" s="7">
        <f t="shared" si="19"/>
        <v>9462663.0473097805</v>
      </c>
      <c r="K30" s="8">
        <f t="shared" si="4"/>
        <v>-1.9960369695422128E-2</v>
      </c>
      <c r="L30" s="8">
        <f t="shared" si="5"/>
        <v>1.9960369695422142E-2</v>
      </c>
      <c r="M30" s="4">
        <f t="shared" si="6"/>
        <v>371682.34490793856</v>
      </c>
      <c r="N30" s="4">
        <f t="shared" si="7"/>
        <v>7565088.1352527123</v>
      </c>
      <c r="O30" s="149">
        <f t="shared" si="8"/>
        <v>279587.14091829001</v>
      </c>
      <c r="P30" s="149">
        <f t="shared" si="9"/>
        <v>1058628.3090478634</v>
      </c>
      <c r="Q30" s="152">
        <f t="shared" si="10"/>
        <v>499001.99687331181</v>
      </c>
      <c r="R30" s="152">
        <f t="shared" si="11"/>
        <v>0</v>
      </c>
      <c r="S30" s="140">
        <f t="shared" si="20"/>
        <v>1306465.922606929</v>
      </c>
      <c r="T30" s="134">
        <f t="shared" si="21"/>
        <v>48429.682100195612</v>
      </c>
      <c r="U30" s="134">
        <f t="shared" si="22"/>
        <v>378506.5218923912</v>
      </c>
      <c r="V30" s="134">
        <f t="shared" si="23"/>
        <v>1916976.3364076919</v>
      </c>
      <c r="W30" s="5">
        <f t="shared" si="24"/>
        <v>10581451.852733733</v>
      </c>
      <c r="X30" s="140">
        <f t="shared" si="12"/>
        <v>74850.299530996766</v>
      </c>
      <c r="Y30" s="141">
        <f t="shared" si="25"/>
        <v>27091914.770400926</v>
      </c>
      <c r="Z30" s="12">
        <f t="shared" si="13"/>
        <v>0.21899441999475711</v>
      </c>
      <c r="AA30" s="5">
        <f t="shared" si="26"/>
        <v>24379888.399895143</v>
      </c>
    </row>
    <row r="31" spans="1:27" x14ac:dyDescent="0.3">
      <c r="A31">
        <v>11</v>
      </c>
      <c r="B31" s="4">
        <f t="shared" si="0"/>
        <v>27091914.770400926</v>
      </c>
      <c r="C31" s="4">
        <f t="shared" si="1"/>
        <v>9200135.630595807</v>
      </c>
      <c r="D31" s="4">
        <f t="shared" si="2"/>
        <v>17891779.139805127</v>
      </c>
      <c r="E31" s="8">
        <f t="shared" si="14"/>
        <v>0.33958971555038803</v>
      </c>
      <c r="F31" s="8">
        <f t="shared" si="15"/>
        <v>0.66041028444961225</v>
      </c>
      <c r="G31" s="9">
        <f t="shared" si="16"/>
        <v>0.05</v>
      </c>
      <c r="H31" s="10">
        <f t="shared" si="17"/>
        <v>0.95</v>
      </c>
      <c r="I31" s="5">
        <f t="shared" si="18"/>
        <v>460006.78152979037</v>
      </c>
      <c r="J31" s="7">
        <f t="shared" si="19"/>
        <v>8740128.8490660153</v>
      </c>
      <c r="K31" s="8">
        <f t="shared" si="4"/>
        <v>-1.3682189150264062E-3</v>
      </c>
      <c r="L31" s="8">
        <f t="shared" si="5"/>
        <v>1.3682189150264756E-3</v>
      </c>
      <c r="M31" s="4">
        <f t="shared" si="6"/>
        <v>293781.70168824797</v>
      </c>
      <c r="N31" s="4">
        <f t="shared" si="7"/>
        <v>6290809.9832492582</v>
      </c>
      <c r="O31" s="149">
        <f t="shared" si="8"/>
        <v>130695.76762262543</v>
      </c>
      <c r="P31" s="149">
        <f t="shared" si="9"/>
        <v>1512058.0681853532</v>
      </c>
      <c r="Q31" s="152">
        <f t="shared" si="10"/>
        <v>359864.55772187089</v>
      </c>
      <c r="R31" s="152">
        <f t="shared" si="11"/>
        <v>3287.6545612684822</v>
      </c>
      <c r="S31" s="140">
        <f t="shared" si="20"/>
        <v>1354595.7385200465</v>
      </c>
      <c r="T31" s="134">
        <f t="shared" si="21"/>
        <v>32200.47470708533</v>
      </c>
      <c r="U31" s="134">
        <f t="shared" si="22"/>
        <v>349605.15396264062</v>
      </c>
      <c r="V31" s="134">
        <f t="shared" si="23"/>
        <v>2147013.4967766153</v>
      </c>
      <c r="W31" s="5">
        <f t="shared" si="24"/>
        <v>9581941.2592655327</v>
      </c>
      <c r="X31" s="140">
        <f t="shared" si="12"/>
        <v>54472.8318424709</v>
      </c>
      <c r="Y31" s="141">
        <f t="shared" si="25"/>
        <v>28211665.325484753</v>
      </c>
      <c r="Z31" s="12">
        <f t="shared" si="13"/>
        <v>0.24337430839465202</v>
      </c>
      <c r="AA31" s="5">
        <f t="shared" si="26"/>
        <v>24867486.167893041</v>
      </c>
    </row>
    <row r="32" spans="1:27" x14ac:dyDescent="0.3">
      <c r="A32">
        <v>12</v>
      </c>
      <c r="B32" s="4">
        <f t="shared" si="0"/>
        <v>28211665.325484753</v>
      </c>
      <c r="C32" s="4">
        <f t="shared" si="1"/>
        <v>8172872.6889030132</v>
      </c>
      <c r="D32" s="4">
        <f t="shared" si="2"/>
        <v>20038792.636581741</v>
      </c>
      <c r="E32" s="8">
        <f t="shared" si="14"/>
        <v>0.28969834267529476</v>
      </c>
      <c r="F32" s="8">
        <f t="shared" si="15"/>
        <v>0.71030165732470529</v>
      </c>
      <c r="G32" s="9">
        <f t="shared" si="16"/>
        <v>0.05</v>
      </c>
      <c r="H32" s="10">
        <f t="shared" si="17"/>
        <v>0.95</v>
      </c>
      <c r="I32" s="5">
        <f t="shared" si="18"/>
        <v>408643.63444515067</v>
      </c>
      <c r="J32" s="7">
        <f t="shared" si="19"/>
        <v>7764229.0544578619</v>
      </c>
      <c r="K32" s="8">
        <f t="shared" si="4"/>
        <v>-1.3682189150263993E-3</v>
      </c>
      <c r="L32" s="8">
        <f t="shared" si="5"/>
        <v>1.3682189150264756E-3</v>
      </c>
      <c r="M32" s="4">
        <f t="shared" si="6"/>
        <v>215213.38475176605</v>
      </c>
      <c r="N32" s="4">
        <f t="shared" si="7"/>
        <v>4961938.1592917927</v>
      </c>
      <c r="O32" s="149">
        <f t="shared" si="8"/>
        <v>151506.14079083328</v>
      </c>
      <c r="P32" s="149">
        <f t="shared" si="9"/>
        <v>1772805.9543838578</v>
      </c>
      <c r="Q32" s="152">
        <f t="shared" si="10"/>
        <v>488972.68585801875</v>
      </c>
      <c r="R32" s="152">
        <f t="shared" si="11"/>
        <v>3854.5963973253647</v>
      </c>
      <c r="S32" s="140">
        <f t="shared" si="20"/>
        <v>1410583.2662742378</v>
      </c>
      <c r="T32" s="134">
        <f t="shared" si="21"/>
        <v>28605.054411160549</v>
      </c>
      <c r="U32" s="134">
        <f t="shared" si="22"/>
        <v>310569.16217831447</v>
      </c>
      <c r="V32" s="134">
        <f t="shared" si="23"/>
        <v>2404655.1163898087</v>
      </c>
      <c r="W32" s="5">
        <f t="shared" si="24"/>
        <v>8512046.9054924883</v>
      </c>
      <c r="X32" s="140">
        <f t="shared" si="12"/>
        <v>73924.092338301605</v>
      </c>
      <c r="Y32" s="141">
        <f t="shared" si="25"/>
        <v>29470987.299851499</v>
      </c>
      <c r="Z32" s="12">
        <f t="shared" si="13"/>
        <v>0.26824179456254527</v>
      </c>
      <c r="AA32" s="5">
        <f t="shared" si="26"/>
        <v>25364835.891250905</v>
      </c>
    </row>
    <row r="33" spans="1:27" x14ac:dyDescent="0.3">
      <c r="A33">
        <v>13</v>
      </c>
      <c r="B33" s="4">
        <f t="shared" si="0"/>
        <v>29470987.299851499</v>
      </c>
      <c r="C33" s="4">
        <f t="shared" si="1"/>
        <v>7027539.546879949</v>
      </c>
      <c r="D33" s="4">
        <f t="shared" si="2"/>
        <v>22443447.752971549</v>
      </c>
      <c r="E33" s="8">
        <f t="shared" si="14"/>
        <v>0.2384561967801927</v>
      </c>
      <c r="F33" s="8">
        <f t="shared" si="15"/>
        <v>0.76154380321980719</v>
      </c>
      <c r="G33" s="9">
        <f t="shared" si="16"/>
        <v>0.05</v>
      </c>
      <c r="H33" s="10">
        <f t="shared" si="17"/>
        <v>0.95</v>
      </c>
      <c r="I33" s="5">
        <f t="shared" si="18"/>
        <v>351376.97734399745</v>
      </c>
      <c r="J33" s="7">
        <f t="shared" si="19"/>
        <v>6676162.5695359511</v>
      </c>
      <c r="K33" s="8">
        <f t="shared" si="4"/>
        <v>-1.3682189150264062E-3</v>
      </c>
      <c r="L33" s="8">
        <f t="shared" si="5"/>
        <v>1.3682189150264756E-3</v>
      </c>
      <c r="M33" s="4">
        <f t="shared" si="6"/>
        <v>135646.73602645285</v>
      </c>
      <c r="N33" s="4">
        <f t="shared" si="7"/>
        <v>3571681.4750829842</v>
      </c>
      <c r="O33" s="149">
        <f t="shared" si="8"/>
        <v>166649.16148199569</v>
      </c>
      <c r="P33" s="149">
        <f t="shared" si="9"/>
        <v>1971655.7004914584</v>
      </c>
      <c r="Q33" s="152">
        <f t="shared" si="10"/>
        <v>653374.72036940046</v>
      </c>
      <c r="R33" s="152">
        <f t="shared" si="11"/>
        <v>4286.9536516881617</v>
      </c>
      <c r="S33" s="140">
        <f t="shared" si="20"/>
        <v>1473549.364992575</v>
      </c>
      <c r="T33" s="134">
        <f t="shared" si="21"/>
        <v>24596.388414079825</v>
      </c>
      <c r="U33" s="134">
        <f t="shared" si="22"/>
        <v>267046.50278143806</v>
      </c>
      <c r="V33" s="134">
        <f t="shared" si="23"/>
        <v>2693213.7303565857</v>
      </c>
      <c r="W33" s="5">
        <f t="shared" si="24"/>
        <v>7319182.438075467</v>
      </c>
      <c r="X33" s="140">
        <f t="shared" si="12"/>
        <v>98649.251103163289</v>
      </c>
      <c r="Y33" s="141">
        <f t="shared" si="25"/>
        <v>30883645.305307869</v>
      </c>
      <c r="Z33" s="12">
        <f t="shared" si="13"/>
        <v>0.29360663045379609</v>
      </c>
      <c r="AA33" s="5">
        <f t="shared" si="26"/>
        <v>25872132.609075923</v>
      </c>
    </row>
    <row r="34" spans="1:27" x14ac:dyDescent="0.3">
      <c r="A34">
        <v>14</v>
      </c>
      <c r="B34" s="4">
        <f t="shared" si="0"/>
        <v>30883645.305307869</v>
      </c>
      <c r="C34" s="4">
        <f t="shared" si="1"/>
        <v>5746983.8219797276</v>
      </c>
      <c r="D34" s="4">
        <f t="shared" si="2"/>
        <v>25136661.483328134</v>
      </c>
      <c r="E34" s="8">
        <f t="shared" si="14"/>
        <v>0.18608502219108225</v>
      </c>
      <c r="F34" s="8">
        <f t="shared" si="15"/>
        <v>0.81391497780891753</v>
      </c>
      <c r="G34" s="9">
        <f t="shared" si="16"/>
        <v>0.05</v>
      </c>
      <c r="H34" s="10">
        <f t="shared" si="17"/>
        <v>0.95</v>
      </c>
      <c r="I34" s="5">
        <f t="shared" si="18"/>
        <v>287349.19109898637</v>
      </c>
      <c r="J34" s="7">
        <f t="shared" si="19"/>
        <v>5459634.6308807414</v>
      </c>
      <c r="K34" s="8">
        <f t="shared" si="4"/>
        <v>-1.3682189150263924E-3</v>
      </c>
      <c r="L34" s="8">
        <f t="shared" si="5"/>
        <v>1.3682189150263646E-3</v>
      </c>
      <c r="M34" s="4">
        <f t="shared" si="6"/>
        <v>54725.734163323476</v>
      </c>
      <c r="N34" s="4">
        <f t="shared" si="7"/>
        <v>2112571.4550504433</v>
      </c>
      <c r="O34" s="149">
        <f t="shared" si="8"/>
        <v>175528.78704932224</v>
      </c>
      <c r="P34" s="149">
        <f t="shared" si="9"/>
        <v>2098475.4090634035</v>
      </c>
      <c r="Q34" s="152">
        <f t="shared" si="10"/>
        <v>175528.78704932224</v>
      </c>
      <c r="R34" s="152">
        <f t="shared" si="11"/>
        <v>2098475.4090634035</v>
      </c>
      <c r="S34" s="140">
        <f t="shared" si="20"/>
        <v>1544182.2652653935</v>
      </c>
      <c r="T34" s="134">
        <f t="shared" si="21"/>
        <v>20114.443376929048</v>
      </c>
      <c r="U34" s="134">
        <f t="shared" si="22"/>
        <v>218385.38523522965</v>
      </c>
      <c r="V34" s="134">
        <f t="shared" si="23"/>
        <v>3016399.377999376</v>
      </c>
      <c r="W34" s="5">
        <f t="shared" si="24"/>
        <v>5985483.6505918866</v>
      </c>
      <c r="X34" s="140">
        <f t="shared" si="12"/>
        <v>2653807.5101230391</v>
      </c>
      <c r="Y34" s="141">
        <f t="shared" si="25"/>
        <v>29940554.736530967</v>
      </c>
      <c r="Z34" s="12">
        <f t="shared" si="13"/>
        <v>0.31947876306287215</v>
      </c>
      <c r="AA34" s="5">
        <f t="shared" si="26"/>
        <v>26389575.261257444</v>
      </c>
    </row>
    <row r="35" spans="1:27" x14ac:dyDescent="0.3">
      <c r="A35" s="38">
        <v>15</v>
      </c>
      <c r="B35" s="142">
        <f t="shared" si="0"/>
        <v>29940554.736530967</v>
      </c>
      <c r="C35" s="142">
        <f t="shared" si="1"/>
        <v>14358871.0423187</v>
      </c>
      <c r="D35" s="142">
        <f t="shared" si="2"/>
        <v>15581683.694212267</v>
      </c>
      <c r="E35" s="143">
        <f t="shared" si="14"/>
        <v>0.47957932538902504</v>
      </c>
      <c r="F35" s="143">
        <f t="shared" si="15"/>
        <v>0.52042067461097496</v>
      </c>
      <c r="G35" s="144">
        <f t="shared" si="16"/>
        <v>0.10425825637437004</v>
      </c>
      <c r="H35" s="145">
        <f t="shared" si="17"/>
        <v>0.89574174362562997</v>
      </c>
      <c r="I35" s="147">
        <f t="shared" si="18"/>
        <v>1497030.858376581</v>
      </c>
      <c r="J35" s="146">
        <f t="shared" si="19"/>
        <v>12861840.183942119</v>
      </c>
      <c r="K35" s="143">
        <f t="shared" si="4"/>
        <v>-1.2444299113363214E-2</v>
      </c>
      <c r="L35" s="143">
        <f t="shared" si="5"/>
        <v>1.2444299113363089E-2</v>
      </c>
      <c r="M35" s="142">
        <f t="shared" si="6"/>
        <v>1340953.3567909757</v>
      </c>
      <c r="N35" s="142">
        <f t="shared" si="7"/>
        <v>11520889.948701175</v>
      </c>
      <c r="O35" s="151">
        <f t="shared" si="8"/>
        <v>104792.16008636085</v>
      </c>
      <c r="P35" s="151">
        <f t="shared" si="9"/>
        <v>514473.60735768522</v>
      </c>
      <c r="Q35" s="153">
        <f t="shared" si="10"/>
        <v>99240.458982848766</v>
      </c>
      <c r="R35" s="153">
        <f t="shared" si="11"/>
        <v>0</v>
      </c>
      <c r="S35" s="153">
        <f t="shared" si="20"/>
        <v>1497027.7368265484</v>
      </c>
      <c r="T35" s="153">
        <f t="shared" si="21"/>
        <v>104792.16008636067</v>
      </c>
      <c r="U35" s="153">
        <f t="shared" si="22"/>
        <v>514473.60735768476</v>
      </c>
      <c r="V35" s="153">
        <f t="shared" si="23"/>
        <v>1869802.043305472</v>
      </c>
      <c r="W35" s="153">
        <f t="shared" si="24"/>
        <v>14978136.809762744</v>
      </c>
      <c r="X35" s="153">
        <f t="shared" si="12"/>
        <v>14886.068847427314</v>
      </c>
      <c r="Y35" s="153">
        <f t="shared" si="25"/>
        <v>30917708.741606504</v>
      </c>
      <c r="Z35" s="154">
        <f t="shared" si="13"/>
        <v>0.34586833832412922</v>
      </c>
      <c r="AA35" s="153">
        <f t="shared" si="26"/>
        <v>26917366.766482584</v>
      </c>
    </row>
    <row r="36" spans="1:27" x14ac:dyDescent="0.3">
      <c r="A36">
        <v>16</v>
      </c>
      <c r="B36" s="4">
        <f t="shared" si="0"/>
        <v>30917708.741606504</v>
      </c>
      <c r="C36" s="4">
        <f t="shared" si="1"/>
        <v>13466223.004088769</v>
      </c>
      <c r="D36" s="4">
        <f t="shared" si="2"/>
        <v>17451485.737517741</v>
      </c>
      <c r="E36" s="8">
        <f t="shared" si="14"/>
        <v>0.4355504839194968</v>
      </c>
      <c r="F36" s="8">
        <f t="shared" si="15"/>
        <v>0.56444951608050342</v>
      </c>
      <c r="G36" s="9">
        <f t="shared" si="16"/>
        <v>9.4322017133331021E-2</v>
      </c>
      <c r="H36" s="10">
        <f t="shared" si="17"/>
        <v>0.90567798286666901</v>
      </c>
      <c r="I36" s="5">
        <f t="shared" si="18"/>
        <v>1270161.3169129172</v>
      </c>
      <c r="J36" s="7">
        <f t="shared" si="19"/>
        <v>12196061.687175851</v>
      </c>
      <c r="K36" s="8">
        <f t="shared" si="4"/>
        <v>-2.7988525997683117E-2</v>
      </c>
      <c r="L36" s="8">
        <f t="shared" si="5"/>
        <v>2.7988525997683089E-2</v>
      </c>
      <c r="M36" s="4">
        <f t="shared" si="6"/>
        <v>797236.20389512822</v>
      </c>
      <c r="N36" s="4">
        <f t="shared" si="7"/>
        <v>10497715.276943844</v>
      </c>
      <c r="O36" s="149">
        <f t="shared" si="8"/>
        <v>416025.37251923583</v>
      </c>
      <c r="P36" s="149">
        <f t="shared" si="9"/>
        <v>786114.47332117287</v>
      </c>
      <c r="Q36" s="152">
        <f t="shared" si="10"/>
        <v>484854.53698324336</v>
      </c>
      <c r="R36" s="152">
        <f t="shared" si="11"/>
        <v>0</v>
      </c>
      <c r="S36" s="140">
        <f t="shared" si="20"/>
        <v>1545885.4370803253</v>
      </c>
      <c r="T36" s="134">
        <f t="shared" si="21"/>
        <v>88911.29218390421</v>
      </c>
      <c r="U36" s="134">
        <f t="shared" si="22"/>
        <v>487842.46748703404</v>
      </c>
      <c r="V36" s="134">
        <f t="shared" si="23"/>
        <v>2094178.2885021288</v>
      </c>
      <c r="W36" s="5">
        <f t="shared" si="24"/>
        <v>14042976.763759706</v>
      </c>
      <c r="X36" s="140">
        <f t="shared" si="12"/>
        <v>72728.180547486496</v>
      </c>
      <c r="Y36" s="141">
        <f t="shared" si="25"/>
        <v>31970027.172151763</v>
      </c>
      <c r="Z36" s="12">
        <f t="shared" si="13"/>
        <v>0.37278570509061204</v>
      </c>
      <c r="AA36" s="5">
        <f t="shared" si="26"/>
        <v>27455714.10181224</v>
      </c>
    </row>
    <row r="37" spans="1:27" x14ac:dyDescent="0.3">
      <c r="A37">
        <v>17</v>
      </c>
      <c r="B37" s="4">
        <f t="shared" si="0"/>
        <v>31970027.172151763</v>
      </c>
      <c r="C37" s="4">
        <f t="shared" si="1"/>
        <v>12424363.146131894</v>
      </c>
      <c r="D37" s="4">
        <f t="shared" si="2"/>
        <v>19545664.026019871</v>
      </c>
      <c r="E37" s="8">
        <f t="shared" si="14"/>
        <v>0.38862535459320552</v>
      </c>
      <c r="F37" s="8">
        <f t="shared" si="15"/>
        <v>0.61137464540679454</v>
      </c>
      <c r="G37" s="9">
        <f t="shared" si="16"/>
        <v>6.8132506301975537E-2</v>
      </c>
      <c r="H37" s="10">
        <f t="shared" si="17"/>
        <v>0.93186749369802446</v>
      </c>
      <c r="I37" s="5">
        <f t="shared" si="18"/>
        <v>846503.0003518638</v>
      </c>
      <c r="J37" s="7">
        <f t="shared" si="19"/>
        <v>11577860.145780031</v>
      </c>
      <c r="K37" s="8">
        <f t="shared" si="4"/>
        <v>-1.9960369695422073E-2</v>
      </c>
      <c r="L37" s="8">
        <f t="shared" si="5"/>
        <v>1.9960369695422031E-2</v>
      </c>
      <c r="M37" s="4">
        <f t="shared" si="6"/>
        <v>454764.81477622833</v>
      </c>
      <c r="N37" s="4">
        <f t="shared" si="7"/>
        <v>9256118.7038522735</v>
      </c>
      <c r="O37" s="149">
        <f t="shared" si="8"/>
        <v>342083.49171121791</v>
      </c>
      <c r="P37" s="149">
        <f t="shared" si="9"/>
        <v>1295264.3930404177</v>
      </c>
      <c r="Q37" s="152">
        <f t="shared" si="10"/>
        <v>610544.33655509411</v>
      </c>
      <c r="R37" s="152">
        <f t="shared" si="11"/>
        <v>0</v>
      </c>
      <c r="S37" s="140">
        <f t="shared" si="20"/>
        <v>1598501.3586075883</v>
      </c>
      <c r="T37" s="134">
        <f t="shared" si="21"/>
        <v>59255.210024630469</v>
      </c>
      <c r="U37" s="134">
        <f t="shared" si="22"/>
        <v>463114.40583120123</v>
      </c>
      <c r="V37" s="134">
        <f t="shared" si="23"/>
        <v>2345479.6831223844</v>
      </c>
      <c r="W37" s="5">
        <f t="shared" si="24"/>
        <v>12946732.761987725</v>
      </c>
      <c r="X37" s="140">
        <f t="shared" si="12"/>
        <v>91581.650483264108</v>
      </c>
      <c r="Y37" s="141">
        <f t="shared" si="25"/>
        <v>33147793.46203912</v>
      </c>
      <c r="Z37" s="12">
        <f t="shared" si="13"/>
        <v>0.4002414191924244</v>
      </c>
      <c r="AA37" s="5">
        <f t="shared" si="26"/>
        <v>28004828.383848488</v>
      </c>
    </row>
    <row r="38" spans="1:27" x14ac:dyDescent="0.3">
      <c r="A38">
        <v>18</v>
      </c>
      <c r="B38" s="4">
        <f t="shared" si="0"/>
        <v>33147793.46203912</v>
      </c>
      <c r="C38" s="4">
        <f t="shared" si="1"/>
        <v>11256649.752896873</v>
      </c>
      <c r="D38" s="4">
        <f t="shared" si="2"/>
        <v>21891143.709142257</v>
      </c>
      <c r="E38" s="8">
        <f t="shared" si="14"/>
        <v>0.33958971555038792</v>
      </c>
      <c r="F38" s="8">
        <f t="shared" si="15"/>
        <v>0.66041028444961236</v>
      </c>
      <c r="G38" s="9">
        <f t="shared" si="16"/>
        <v>0.05</v>
      </c>
      <c r="H38" s="10">
        <f t="shared" si="17"/>
        <v>0.95</v>
      </c>
      <c r="I38" s="5">
        <f t="shared" si="18"/>
        <v>562832.48764484364</v>
      </c>
      <c r="J38" s="7">
        <f t="shared" si="19"/>
        <v>10693817.26525203</v>
      </c>
      <c r="K38" s="8">
        <f t="shared" si="4"/>
        <v>-1.3682189150263993E-3</v>
      </c>
      <c r="L38" s="8">
        <f t="shared" si="5"/>
        <v>1.3682189150263646E-3</v>
      </c>
      <c r="M38" s="4">
        <f t="shared" si="6"/>
        <v>359450.97469182429</v>
      </c>
      <c r="N38" s="4">
        <f t="shared" si="7"/>
        <v>7697000.0755171562</v>
      </c>
      <c r="O38" s="149">
        <f t="shared" si="8"/>
        <v>159910.30343306062</v>
      </c>
      <c r="P38" s="149">
        <f t="shared" si="9"/>
        <v>1850049.6908980962</v>
      </c>
      <c r="Q38" s="152">
        <f t="shared" si="10"/>
        <v>440305.38759501843</v>
      </c>
      <c r="R38" s="152">
        <f t="shared" si="11"/>
        <v>4022.546774380352</v>
      </c>
      <c r="S38" s="140">
        <f t="shared" si="20"/>
        <v>1657389.673101956</v>
      </c>
      <c r="T38" s="134">
        <f t="shared" si="21"/>
        <v>39398.274135139058</v>
      </c>
      <c r="U38" s="134">
        <f t="shared" si="22"/>
        <v>427752.69061008119</v>
      </c>
      <c r="V38" s="134">
        <f t="shared" si="23"/>
        <v>2626937.2450970705</v>
      </c>
      <c r="W38" s="5">
        <f t="shared" si="24"/>
        <v>11723800.717642093</v>
      </c>
      <c r="X38" s="140">
        <f t="shared" si="12"/>
        <v>66649.190155409815</v>
      </c>
      <c r="Y38" s="141">
        <f t="shared" si="25"/>
        <v>34517842.808624052</v>
      </c>
      <c r="Z38" s="12">
        <f t="shared" si="13"/>
        <v>0.42824624757627272</v>
      </c>
      <c r="AA38" s="5">
        <f t="shared" si="26"/>
        <v>28564924.951525453</v>
      </c>
    </row>
    <row r="39" spans="1:27" x14ac:dyDescent="0.3">
      <c r="A39">
        <v>19</v>
      </c>
      <c r="B39" s="4">
        <f t="shared" si="0"/>
        <v>34517842.808624052</v>
      </c>
      <c r="C39" s="4">
        <f t="shared" si="1"/>
        <v>9999761.8543847278</v>
      </c>
      <c r="D39" s="4">
        <f t="shared" si="2"/>
        <v>24518080.954239327</v>
      </c>
      <c r="E39" s="8">
        <f t="shared" si="14"/>
        <v>0.28969834267529471</v>
      </c>
      <c r="F39" s="8">
        <f t="shared" si="15"/>
        <v>0.7103016573247054</v>
      </c>
      <c r="G39" s="9">
        <f t="shared" si="16"/>
        <v>0.05</v>
      </c>
      <c r="H39" s="10">
        <f t="shared" si="17"/>
        <v>0.95</v>
      </c>
      <c r="I39" s="5">
        <f t="shared" si="18"/>
        <v>499988.09271923639</v>
      </c>
      <c r="J39" s="7">
        <f t="shared" si="19"/>
        <v>9499773.7616654914</v>
      </c>
      <c r="K39" s="8">
        <f t="shared" si="4"/>
        <v>-1.3682189150263993E-3</v>
      </c>
      <c r="L39" s="8">
        <f t="shared" si="5"/>
        <v>1.3682189150263646E-3</v>
      </c>
      <c r="M39" s="4">
        <f t="shared" si="6"/>
        <v>263320.21521830355</v>
      </c>
      <c r="N39" s="4">
        <f t="shared" si="7"/>
        <v>6071084.4054224417</v>
      </c>
      <c r="O39" s="149">
        <f t="shared" si="8"/>
        <v>185372.43696971925</v>
      </c>
      <c r="P39" s="149">
        <f t="shared" si="9"/>
        <v>2169082.773300027</v>
      </c>
      <c r="Q39" s="152">
        <f t="shared" si="10"/>
        <v>598273.1651403408</v>
      </c>
      <c r="R39" s="152">
        <f t="shared" si="11"/>
        <v>4716.2176000074869</v>
      </c>
      <c r="S39" s="140">
        <f t="shared" si="20"/>
        <v>1725892.1404312027</v>
      </c>
      <c r="T39" s="134">
        <f t="shared" si="21"/>
        <v>34999.16649034655</v>
      </c>
      <c r="U39" s="134">
        <f t="shared" si="22"/>
        <v>379990.95046661969</v>
      </c>
      <c r="V39" s="134">
        <f t="shared" si="23"/>
        <v>2942169.7145087193</v>
      </c>
      <c r="W39" s="5">
        <f t="shared" si="24"/>
        <v>10414751.971341694</v>
      </c>
      <c r="X39" s="140">
        <f t="shared" si="12"/>
        <v>90448.407411052249</v>
      </c>
      <c r="Y39" s="141">
        <f t="shared" si="25"/>
        <v>36058662.092247479</v>
      </c>
      <c r="Z39" s="12">
        <f t="shared" si="13"/>
        <v>0.45681117252779813</v>
      </c>
      <c r="AA39" s="5">
        <f t="shared" si="26"/>
        <v>29136223.450555962</v>
      </c>
    </row>
    <row r="40" spans="1:27" x14ac:dyDescent="0.3">
      <c r="A40">
        <v>20</v>
      </c>
      <c r="B40" s="4">
        <f t="shared" si="0"/>
        <v>36058662.092247479</v>
      </c>
      <c r="C40" s="4">
        <f t="shared" si="1"/>
        <v>8598411.4234994389</v>
      </c>
      <c r="D40" s="4">
        <f t="shared" si="2"/>
        <v>27460250.668748047</v>
      </c>
      <c r="E40" s="8">
        <f t="shared" si="14"/>
        <v>0.23845619678019267</v>
      </c>
      <c r="F40" s="8">
        <f t="shared" si="15"/>
        <v>0.76154380321980752</v>
      </c>
      <c r="G40" s="9">
        <f t="shared" si="16"/>
        <v>0.05</v>
      </c>
      <c r="H40" s="10">
        <f t="shared" si="17"/>
        <v>0.95</v>
      </c>
      <c r="I40" s="5">
        <f t="shared" si="18"/>
        <v>429920.57117497199</v>
      </c>
      <c r="J40" s="7">
        <f t="shared" si="19"/>
        <v>8168490.8523244662</v>
      </c>
      <c r="K40" s="8">
        <f t="shared" si="4"/>
        <v>-1.3682189150264062E-3</v>
      </c>
      <c r="L40" s="8">
        <f t="shared" si="5"/>
        <v>1.3682189150265867E-3</v>
      </c>
      <c r="M40" s="4">
        <f t="shared" si="6"/>
        <v>165967.96600427467</v>
      </c>
      <c r="N40" s="4">
        <f t="shared" si="7"/>
        <v>4370062.4651894998</v>
      </c>
      <c r="O40" s="149">
        <f t="shared" si="8"/>
        <v>203900.38992232666</v>
      </c>
      <c r="P40" s="149">
        <f t="shared" si="9"/>
        <v>2412381.5718461894</v>
      </c>
      <c r="Q40" s="152">
        <f t="shared" si="10"/>
        <v>799424.12589399668</v>
      </c>
      <c r="R40" s="152">
        <f t="shared" si="11"/>
        <v>5245.2200382211322</v>
      </c>
      <c r="S40" s="140">
        <f t="shared" si="20"/>
        <v>1802933.104612374</v>
      </c>
      <c r="T40" s="134">
        <f t="shared" si="21"/>
        <v>30094.439982248041</v>
      </c>
      <c r="U40" s="134">
        <f t="shared" si="22"/>
        <v>326739.63409297867</v>
      </c>
      <c r="V40" s="134">
        <f t="shared" si="23"/>
        <v>3295230.0802497654</v>
      </c>
      <c r="W40" s="5">
        <f t="shared" si="24"/>
        <v>8955245.4975746665</v>
      </c>
      <c r="X40" s="140">
        <f t="shared" si="12"/>
        <v>120700.40188983266</v>
      </c>
      <c r="Y40" s="141">
        <f t="shared" si="25"/>
        <v>37787092.740070269</v>
      </c>
      <c r="Z40" s="12">
        <f t="shared" si="13"/>
        <v>0.48594739597835424</v>
      </c>
      <c r="AA40" s="5">
        <f t="shared" si="26"/>
        <v>29718947.919567086</v>
      </c>
    </row>
    <row r="41" spans="1:27" x14ac:dyDescent="0.3">
      <c r="A41">
        <v>21</v>
      </c>
      <c r="B41" s="4">
        <f t="shared" si="0"/>
        <v>37787092.740070269</v>
      </c>
      <c r="C41" s="4">
        <f t="shared" si="1"/>
        <v>7031611.9910724582</v>
      </c>
      <c r="D41" s="4">
        <f t="shared" si="2"/>
        <v>30755480.748997811</v>
      </c>
      <c r="E41" s="8">
        <f t="shared" si="14"/>
        <v>0.18608502219108222</v>
      </c>
      <c r="F41" s="8">
        <f t="shared" si="15"/>
        <v>0.81391497780891775</v>
      </c>
      <c r="G41" s="9">
        <f t="shared" si="16"/>
        <v>0.05</v>
      </c>
      <c r="H41" s="10">
        <f t="shared" si="17"/>
        <v>0.95</v>
      </c>
      <c r="I41" s="5">
        <f t="shared" si="18"/>
        <v>351580.59955362295</v>
      </c>
      <c r="J41" s="7">
        <f t="shared" si="19"/>
        <v>6680031.391518835</v>
      </c>
      <c r="K41" s="8">
        <f t="shared" si="4"/>
        <v>-1.3682189150264062E-3</v>
      </c>
      <c r="L41" s="8">
        <f t="shared" si="5"/>
        <v>1.3682189150263646E-3</v>
      </c>
      <c r="M41" s="4">
        <f t="shared" si="6"/>
        <v>66958.623946588807</v>
      </c>
      <c r="N41" s="4">
        <f t="shared" si="7"/>
        <v>2584796.3445654735</v>
      </c>
      <c r="O41" s="149">
        <f t="shared" si="8"/>
        <v>214764.88572561202</v>
      </c>
      <c r="P41" s="149">
        <f t="shared" si="9"/>
        <v>2567549.3974607773</v>
      </c>
      <c r="Q41" s="152">
        <f t="shared" si="10"/>
        <v>214764.88572561202</v>
      </c>
      <c r="R41" s="152">
        <f t="shared" si="11"/>
        <v>2567549.3974607773</v>
      </c>
      <c r="S41" s="140">
        <f t="shared" si="20"/>
        <v>1889354.6370035135</v>
      </c>
      <c r="T41" s="134">
        <f t="shared" si="21"/>
        <v>24610.641968753607</v>
      </c>
      <c r="U41" s="134">
        <f t="shared" si="22"/>
        <v>267201.25566075341</v>
      </c>
      <c r="V41" s="134">
        <f t="shared" si="23"/>
        <v>3690657.6898797373</v>
      </c>
      <c r="W41" s="5">
        <f t="shared" si="24"/>
        <v>7323423.8887019651</v>
      </c>
      <c r="X41" s="140">
        <f t="shared" si="12"/>
        <v>3247015.3541777506</v>
      </c>
      <c r="Y41" s="141">
        <f t="shared" si="25"/>
        <v>36633192.336398251</v>
      </c>
      <c r="Z41" s="12">
        <f t="shared" si="13"/>
        <v>0.51566634389792121</v>
      </c>
      <c r="AA41" s="5">
        <f t="shared" si="26"/>
        <v>30313326.877958424</v>
      </c>
    </row>
    <row r="42" spans="1:27" x14ac:dyDescent="0.3">
      <c r="A42">
        <v>22</v>
      </c>
      <c r="B42" s="4">
        <f t="shared" si="0"/>
        <v>36633192.336398251</v>
      </c>
      <c r="C42" s="4">
        <f t="shared" si="1"/>
        <v>17568521.667536274</v>
      </c>
      <c r="D42" s="4">
        <f t="shared" si="2"/>
        <v>19064670.668861978</v>
      </c>
      <c r="E42" s="8">
        <f t="shared" si="14"/>
        <v>0.47957932538902498</v>
      </c>
      <c r="F42" s="8">
        <f t="shared" si="15"/>
        <v>0.52042067461097496</v>
      </c>
      <c r="G42" s="9">
        <f t="shared" si="16"/>
        <v>0.10425825637437004</v>
      </c>
      <c r="H42" s="10">
        <f t="shared" si="17"/>
        <v>0.89574174362562997</v>
      </c>
      <c r="I42" s="5">
        <f t="shared" si="18"/>
        <v>1831663.436132672</v>
      </c>
      <c r="J42" s="7">
        <f t="shared" si="19"/>
        <v>15736858.231403602</v>
      </c>
      <c r="K42" s="8">
        <f t="shared" si="4"/>
        <v>-1.2444299113363214E-2</v>
      </c>
      <c r="L42" s="8">
        <f t="shared" si="5"/>
        <v>1.2444299113363089E-2</v>
      </c>
      <c r="M42" s="4">
        <f t="shared" si="6"/>
        <v>1640697.7982116812</v>
      </c>
      <c r="N42" s="4">
        <f t="shared" si="7"/>
        <v>14096164.25250468</v>
      </c>
      <c r="O42" s="149">
        <f t="shared" si="8"/>
        <v>128216.44052928707</v>
      </c>
      <c r="P42" s="149">
        <f t="shared" si="9"/>
        <v>629474.32925614365</v>
      </c>
      <c r="Q42" s="152">
        <f t="shared" si="10"/>
        <v>121423.76296840644</v>
      </c>
      <c r="R42" s="152">
        <f t="shared" si="11"/>
        <v>0</v>
      </c>
      <c r="S42" s="140">
        <f t="shared" si="20"/>
        <v>1831659.6168199126</v>
      </c>
      <c r="T42" s="134">
        <f t="shared" si="21"/>
        <v>128216.44052928705</v>
      </c>
      <c r="U42" s="134">
        <f t="shared" si="22"/>
        <v>629474.32925614412</v>
      </c>
      <c r="V42" s="134">
        <f t="shared" si="23"/>
        <v>2287760.4802634371</v>
      </c>
      <c r="W42" s="5">
        <f t="shared" si="24"/>
        <v>18326212.437321704</v>
      </c>
      <c r="X42" s="140">
        <f t="shared" si="12"/>
        <v>18213.564445260967</v>
      </c>
      <c r="Y42" s="141">
        <f t="shared" si="25"/>
        <v>37828770.405181944</v>
      </c>
      <c r="Z42" s="12">
        <f t="shared" si="13"/>
        <v>0.54597967077587972</v>
      </c>
      <c r="AA42" s="5">
        <f t="shared" si="26"/>
        <v>30919593.415517595</v>
      </c>
    </row>
    <row r="43" spans="1:27" x14ac:dyDescent="0.3">
      <c r="A43">
        <v>23</v>
      </c>
      <c r="B43" s="4">
        <f t="shared" si="0"/>
        <v>37828770.405181944</v>
      </c>
      <c r="C43" s="4">
        <f t="shared" si="1"/>
        <v>16476339.25605653</v>
      </c>
      <c r="D43" s="4">
        <f t="shared" si="2"/>
        <v>21352431.149125416</v>
      </c>
      <c r="E43" s="8">
        <f t="shared" si="14"/>
        <v>0.43555048391949669</v>
      </c>
      <c r="F43" s="8">
        <f t="shared" si="15"/>
        <v>0.56444951608050342</v>
      </c>
      <c r="G43" s="9">
        <f t="shared" si="16"/>
        <v>9.4322017133331021E-2</v>
      </c>
      <c r="H43" s="10">
        <f t="shared" si="17"/>
        <v>0.90567798286666901</v>
      </c>
      <c r="I43" s="5">
        <f t="shared" si="18"/>
        <v>1554081.5536043386</v>
      </c>
      <c r="J43" s="7">
        <f t="shared" si="19"/>
        <v>14922257.702452192</v>
      </c>
      <c r="K43" s="8">
        <f t="shared" si="4"/>
        <v>-2.7988525997683103E-2</v>
      </c>
      <c r="L43" s="8">
        <f t="shared" si="5"/>
        <v>2.79885259976832E-2</v>
      </c>
      <c r="M43" s="4">
        <f t="shared" si="6"/>
        <v>975443.08887491538</v>
      </c>
      <c r="N43" s="4">
        <f t="shared" si="7"/>
        <v>12844278.478374889</v>
      </c>
      <c r="O43" s="149">
        <f t="shared" si="8"/>
        <v>509019.87696720596</v>
      </c>
      <c r="P43" s="149">
        <f t="shared" si="9"/>
        <v>961835.30843081372</v>
      </c>
      <c r="Q43" s="152">
        <f t="shared" si="10"/>
        <v>593234.48295401945</v>
      </c>
      <c r="R43" s="152">
        <f t="shared" si="11"/>
        <v>0</v>
      </c>
      <c r="S43" s="140">
        <f t="shared" si="20"/>
        <v>1891438.5202590972</v>
      </c>
      <c r="T43" s="134">
        <f t="shared" si="21"/>
        <v>108785.7087523037</v>
      </c>
      <c r="U43" s="134">
        <f t="shared" si="22"/>
        <v>596890.30809808767</v>
      </c>
      <c r="V43" s="134">
        <f t="shared" si="23"/>
        <v>2562291.7378950496</v>
      </c>
      <c r="W43" s="5">
        <f t="shared" si="24"/>
        <v>17182015.272906922</v>
      </c>
      <c r="X43" s="140">
        <f t="shared" si="12"/>
        <v>88985.172443102914</v>
      </c>
      <c r="Y43" s="141">
        <f t="shared" si="25"/>
        <v>39116314.467225187</v>
      </c>
      <c r="Z43" s="12">
        <f t="shared" si="13"/>
        <v>0.57689926419139703</v>
      </c>
      <c r="AA43" s="5">
        <f t="shared" si="26"/>
        <v>31537985.283827942</v>
      </c>
    </row>
    <row r="44" spans="1:27" x14ac:dyDescent="0.3">
      <c r="A44">
        <v>24</v>
      </c>
      <c r="B44" s="4">
        <f t="shared" si="0"/>
        <v>39116314.467225187</v>
      </c>
      <c r="C44" s="4">
        <f t="shared" si="1"/>
        <v>15201591.580204722</v>
      </c>
      <c r="D44" s="4">
        <f t="shared" si="2"/>
        <v>23914722.887020465</v>
      </c>
      <c r="E44" s="8">
        <f t="shared" si="14"/>
        <v>0.38862535459320546</v>
      </c>
      <c r="F44" s="8">
        <f t="shared" si="15"/>
        <v>0.61137464540679454</v>
      </c>
      <c r="G44" s="9">
        <f t="shared" si="16"/>
        <v>6.8132506301975537E-2</v>
      </c>
      <c r="H44" s="10">
        <f t="shared" si="17"/>
        <v>0.93186749369802446</v>
      </c>
      <c r="I44" s="5">
        <f t="shared" si="18"/>
        <v>1035722.5341383565</v>
      </c>
      <c r="J44" s="7">
        <f t="shared" si="19"/>
        <v>14165869.046066364</v>
      </c>
      <c r="K44" s="8">
        <f t="shared" si="4"/>
        <v>-1.9960369695422073E-2</v>
      </c>
      <c r="L44" s="8">
        <f t="shared" si="5"/>
        <v>1.9960369695422142E-2</v>
      </c>
      <c r="M44" s="4">
        <f t="shared" si="6"/>
        <v>556418.7796159162</v>
      </c>
      <c r="N44" s="4">
        <f t="shared" si="7"/>
        <v>11325146.770010747</v>
      </c>
      <c r="O44" s="149">
        <f t="shared" si="8"/>
        <v>418549.70481471124</v>
      </c>
      <c r="P44" s="149">
        <f t="shared" si="9"/>
        <v>1584795.9416344268</v>
      </c>
      <c r="Q44" s="152">
        <f t="shared" si="10"/>
        <v>747019.83005118021</v>
      </c>
      <c r="R44" s="152">
        <f t="shared" si="11"/>
        <v>0</v>
      </c>
      <c r="S44" s="140">
        <f t="shared" si="20"/>
        <v>1955815.7233612593</v>
      </c>
      <c r="T44" s="134">
        <f t="shared" si="21"/>
        <v>72500.577389684957</v>
      </c>
      <c r="U44" s="134">
        <f t="shared" si="22"/>
        <v>566634.76184265455</v>
      </c>
      <c r="V44" s="134">
        <f t="shared" si="23"/>
        <v>2869766.7464424558</v>
      </c>
      <c r="W44" s="5">
        <f t="shared" si="24"/>
        <v>15840726.919437062</v>
      </c>
      <c r="X44" s="140">
        <f t="shared" si="12"/>
        <v>112052.97450767703</v>
      </c>
      <c r="Y44" s="141">
        <f t="shared" si="25"/>
        <v>40557347.855031051</v>
      </c>
      <c r="Z44" s="12">
        <f t="shared" si="13"/>
        <v>0.60843724947522504</v>
      </c>
      <c r="AA44" s="5">
        <f t="shared" si="26"/>
        <v>32168744.989504501</v>
      </c>
    </row>
    <row r="45" spans="1:27" x14ac:dyDescent="0.3">
      <c r="A45">
        <v>25</v>
      </c>
      <c r="B45" s="4">
        <f t="shared" si="0"/>
        <v>40557347.855031051</v>
      </c>
      <c r="C45" s="4">
        <f t="shared" si="1"/>
        <v>13772858.221568124</v>
      </c>
      <c r="D45" s="4">
        <f t="shared" si="2"/>
        <v>26784489.633462921</v>
      </c>
      <c r="E45" s="8">
        <f t="shared" si="14"/>
        <v>0.33958971555038775</v>
      </c>
      <c r="F45" s="8">
        <f t="shared" si="15"/>
        <v>0.66041028444961214</v>
      </c>
      <c r="G45" s="9">
        <f t="shared" si="16"/>
        <v>0.05</v>
      </c>
      <c r="H45" s="10">
        <f t="shared" si="17"/>
        <v>0.95</v>
      </c>
      <c r="I45" s="5">
        <f t="shared" si="18"/>
        <v>688642.91107840627</v>
      </c>
      <c r="J45" s="7">
        <f t="shared" si="19"/>
        <v>13084215.310489718</v>
      </c>
      <c r="K45" s="8">
        <f t="shared" si="4"/>
        <v>-1.3682189150264062E-3</v>
      </c>
      <c r="L45" s="8">
        <f t="shared" si="5"/>
        <v>1.3682189150263646E-3</v>
      </c>
      <c r="M45" s="4">
        <f t="shared" si="6"/>
        <v>439799.35599941044</v>
      </c>
      <c r="N45" s="4">
        <f t="shared" si="7"/>
        <v>9417517.0320294984</v>
      </c>
      <c r="O45" s="149">
        <f t="shared" si="8"/>
        <v>195655.18921690667</v>
      </c>
      <c r="P45" s="149">
        <f t="shared" si="9"/>
        <v>2263592.8677658332</v>
      </c>
      <c r="Q45" s="152">
        <f t="shared" si="10"/>
        <v>538727.22441045742</v>
      </c>
      <c r="R45" s="152">
        <f t="shared" si="11"/>
        <v>4921.7100673234654</v>
      </c>
      <c r="S45" s="140">
        <f t="shared" si="20"/>
        <v>2027867.3927515526</v>
      </c>
      <c r="T45" s="134">
        <f t="shared" si="21"/>
        <v>48205.00377548844</v>
      </c>
      <c r="U45" s="134">
        <f t="shared" si="22"/>
        <v>523368.61241958872</v>
      </c>
      <c r="V45" s="134">
        <f t="shared" si="23"/>
        <v>3214138.7560155503</v>
      </c>
      <c r="W45" s="5">
        <f t="shared" si="24"/>
        <v>14344431.837763201</v>
      </c>
      <c r="X45" s="140">
        <f t="shared" si="12"/>
        <v>81547.340171667121</v>
      </c>
      <c r="Y45" s="141">
        <f t="shared" si="25"/>
        <v>42233645.494318463</v>
      </c>
      <c r="Z45" s="12">
        <f t="shared" si="13"/>
        <v>0.64060599446472954</v>
      </c>
      <c r="AA45" s="5">
        <f t="shared" si="26"/>
        <v>32812119.889294591</v>
      </c>
    </row>
    <row r="46" spans="1:27" x14ac:dyDescent="0.3">
      <c r="A46">
        <v>26</v>
      </c>
      <c r="B46" s="4">
        <f t="shared" si="0"/>
        <v>42233645.494318463</v>
      </c>
      <c r="C46" s="4">
        <f t="shared" si="1"/>
        <v>12235017.104839981</v>
      </c>
      <c r="D46" s="4">
        <f t="shared" si="2"/>
        <v>29998628.389478471</v>
      </c>
      <c r="E46" s="8">
        <f t="shared" si="14"/>
        <v>0.2896983426752946</v>
      </c>
      <c r="F46" s="8">
        <f t="shared" si="15"/>
        <v>0.71030165732470518</v>
      </c>
      <c r="G46" s="9">
        <f t="shared" si="16"/>
        <v>0.05</v>
      </c>
      <c r="H46" s="10">
        <f t="shared" si="17"/>
        <v>0.95</v>
      </c>
      <c r="I46" s="5">
        <f t="shared" si="18"/>
        <v>611750.85524199903</v>
      </c>
      <c r="J46" s="7">
        <f t="shared" si="19"/>
        <v>11623266.249597982</v>
      </c>
      <c r="K46" s="8">
        <f t="shared" si="4"/>
        <v>-1.3682189150263924E-3</v>
      </c>
      <c r="L46" s="8">
        <f t="shared" si="5"/>
        <v>1.3682189150263646E-3</v>
      </c>
      <c r="M46" s="4">
        <f t="shared" si="6"/>
        <v>322180.40630971786</v>
      </c>
      <c r="N46" s="4">
        <f t="shared" si="7"/>
        <v>7428159.0528778853</v>
      </c>
      <c r="O46" s="149">
        <f t="shared" si="8"/>
        <v>226808.89506342489</v>
      </c>
      <c r="P46" s="149">
        <f t="shared" si="9"/>
        <v>2653939.6857238896</v>
      </c>
      <c r="Q46" s="152">
        <f t="shared" si="10"/>
        <v>732005.673280027</v>
      </c>
      <c r="R46" s="152">
        <f t="shared" si="11"/>
        <v>5770.4377210680377</v>
      </c>
      <c r="S46" s="140">
        <f t="shared" si="20"/>
        <v>2111682.2747159232</v>
      </c>
      <c r="T46" s="134">
        <f t="shared" si="21"/>
        <v>42822.559866939933</v>
      </c>
      <c r="U46" s="134">
        <f t="shared" si="22"/>
        <v>464930.64998391928</v>
      </c>
      <c r="V46" s="134">
        <f t="shared" si="23"/>
        <v>3599835.4067374165</v>
      </c>
      <c r="W46" s="5">
        <f t="shared" si="24"/>
        <v>12742770.314690841</v>
      </c>
      <c r="X46" s="140">
        <f t="shared" si="12"/>
        <v>110666.41665016425</v>
      </c>
      <c r="Y46" s="141">
        <f t="shared" si="25"/>
        <v>44118885.419540659</v>
      </c>
      <c r="Z46" s="12">
        <f t="shared" si="13"/>
        <v>0.67341811435402432</v>
      </c>
      <c r="AA46" s="5">
        <f t="shared" si="26"/>
        <v>33468362.287080485</v>
      </c>
    </row>
    <row r="47" spans="1:27" x14ac:dyDescent="0.3">
      <c r="A47">
        <v>27</v>
      </c>
      <c r="B47" s="4">
        <f t="shared" si="0"/>
        <v>44118885.419540659</v>
      </c>
      <c r="C47" s="4">
        <f t="shared" si="1"/>
        <v>10520421.623324754</v>
      </c>
      <c r="D47" s="4">
        <f t="shared" si="2"/>
        <v>33598463.796215884</v>
      </c>
      <c r="E47" s="8">
        <f t="shared" si="14"/>
        <v>0.2384561967801925</v>
      </c>
      <c r="F47" s="8">
        <f t="shared" si="15"/>
        <v>0.76154380321980697</v>
      </c>
      <c r="G47" s="9">
        <f t="shared" si="16"/>
        <v>0.05</v>
      </c>
      <c r="H47" s="10">
        <f t="shared" si="17"/>
        <v>0.95</v>
      </c>
      <c r="I47" s="5">
        <f t="shared" si="18"/>
        <v>526021.08116623771</v>
      </c>
      <c r="J47" s="7">
        <f t="shared" si="19"/>
        <v>9994400.5421585161</v>
      </c>
      <c r="K47" s="8">
        <f t="shared" si="4"/>
        <v>-1.3682189150264062E-3</v>
      </c>
      <c r="L47" s="8">
        <f t="shared" si="5"/>
        <v>1.3682189150263646E-3</v>
      </c>
      <c r="M47" s="4">
        <f t="shared" si="6"/>
        <v>203066.92624158919</v>
      </c>
      <c r="N47" s="4">
        <f t="shared" si="7"/>
        <v>5346906.2353087896</v>
      </c>
      <c r="O47" s="149">
        <f t="shared" si="8"/>
        <v>249478.41705743346</v>
      </c>
      <c r="P47" s="149">
        <f t="shared" si="9"/>
        <v>2951623.2711078851</v>
      </c>
      <c r="Q47" s="152">
        <f t="shared" si="10"/>
        <v>978120.07893428113</v>
      </c>
      <c r="R47" s="152">
        <f t="shared" si="11"/>
        <v>6417.6885230673506</v>
      </c>
      <c r="S47" s="140">
        <f t="shared" si="20"/>
        <v>2205944.2709770328</v>
      </c>
      <c r="T47" s="134">
        <f t="shared" si="21"/>
        <v>36821.475681636643</v>
      </c>
      <c r="U47" s="134">
        <f t="shared" si="22"/>
        <v>399776.02168634068</v>
      </c>
      <c r="V47" s="134">
        <f t="shared" si="23"/>
        <v>4031815.6555459062</v>
      </c>
      <c r="W47" s="5">
        <f t="shared" si="24"/>
        <v>10957019.12069273</v>
      </c>
      <c r="X47" s="140">
        <f t="shared" si="12"/>
        <v>147680.66511860228</v>
      </c>
      <c r="Y47" s="141">
        <f t="shared" si="25"/>
        <v>46233673.636358902</v>
      </c>
      <c r="Z47" s="12">
        <f t="shared" si="13"/>
        <v>0.70688647664110449</v>
      </c>
      <c r="AA47" s="5">
        <f t="shared" si="26"/>
        <v>34137729.532822087</v>
      </c>
    </row>
    <row r="48" spans="1:27" x14ac:dyDescent="0.3">
      <c r="A48">
        <v>28</v>
      </c>
      <c r="B48" s="4">
        <f t="shared" si="0"/>
        <v>46233673.636358902</v>
      </c>
      <c r="C48" s="4">
        <f t="shared" si="1"/>
        <v>8603394.1845970955</v>
      </c>
      <c r="D48" s="4">
        <f t="shared" si="2"/>
        <v>37630279.45176179</v>
      </c>
      <c r="E48" s="8">
        <f t="shared" si="14"/>
        <v>0.18608502219108214</v>
      </c>
      <c r="F48" s="8">
        <f t="shared" si="15"/>
        <v>0.81391497780891753</v>
      </c>
      <c r="G48" s="9">
        <f t="shared" si="16"/>
        <v>0.05</v>
      </c>
      <c r="H48" s="10">
        <f t="shared" si="17"/>
        <v>0.95</v>
      </c>
      <c r="I48" s="5">
        <f t="shared" si="18"/>
        <v>430169.70922985481</v>
      </c>
      <c r="J48" s="7">
        <f t="shared" si="19"/>
        <v>8173224.4753672406</v>
      </c>
      <c r="K48" s="8">
        <f t="shared" si="4"/>
        <v>-1.3682189150264132E-3</v>
      </c>
      <c r="L48" s="8">
        <f t="shared" si="5"/>
        <v>1.3682189150262536E-3</v>
      </c>
      <c r="M48" s="4">
        <f t="shared" si="6"/>
        <v>81925.941960691591</v>
      </c>
      <c r="N48" s="4">
        <f t="shared" si="7"/>
        <v>3162578.0642385343</v>
      </c>
      <c r="O48" s="149">
        <f t="shared" si="8"/>
        <v>262771.46282435581</v>
      </c>
      <c r="P48" s="149">
        <f t="shared" si="9"/>
        <v>3141475.8924163477</v>
      </c>
      <c r="Q48" s="152">
        <f t="shared" si="10"/>
        <v>262771.46282435581</v>
      </c>
      <c r="R48" s="152">
        <f t="shared" si="11"/>
        <v>3141475.8924163477</v>
      </c>
      <c r="S48" s="140">
        <f t="shared" si="20"/>
        <v>2311683.6818179451</v>
      </c>
      <c r="T48" s="134">
        <f t="shared" si="21"/>
        <v>30111.879646089841</v>
      </c>
      <c r="U48" s="134">
        <f t="shared" si="22"/>
        <v>326928.97901468963</v>
      </c>
      <c r="V48" s="134">
        <f t="shared" si="23"/>
        <v>4515633.5342114149</v>
      </c>
      <c r="W48" s="5">
        <f t="shared" si="24"/>
        <v>8960435.0432578735</v>
      </c>
      <c r="X48" s="140">
        <f t="shared" si="12"/>
        <v>3972823.4508527899</v>
      </c>
      <c r="Y48" s="141">
        <f t="shared" si="25"/>
        <v>44821840.896560356</v>
      </c>
      <c r="Z48" s="12">
        <f t="shared" si="13"/>
        <v>0.74102420617392695</v>
      </c>
      <c r="AA48" s="5">
        <f t="shared" si="26"/>
        <v>34820484.123478539</v>
      </c>
    </row>
    <row r="49" spans="1:27" x14ac:dyDescent="0.3">
      <c r="A49">
        <v>29</v>
      </c>
      <c r="B49" s="4">
        <f t="shared" si="0"/>
        <v>44821840.896560356</v>
      </c>
      <c r="C49" s="4">
        <f t="shared" si="1"/>
        <v>21495628.21986663</v>
      </c>
      <c r="D49" s="4">
        <f t="shared" si="2"/>
        <v>23326212.676693726</v>
      </c>
      <c r="E49" s="8">
        <f t="shared" si="14"/>
        <v>0.47957932538902504</v>
      </c>
      <c r="F49" s="8">
        <f t="shared" si="15"/>
        <v>0.52042067461097496</v>
      </c>
      <c r="G49" s="9">
        <f t="shared" si="16"/>
        <v>0.10425825637437004</v>
      </c>
      <c r="H49" s="10">
        <f t="shared" si="17"/>
        <v>0.89574174362562997</v>
      </c>
      <c r="I49" s="5">
        <f t="shared" si="18"/>
        <v>2241096.7178749987</v>
      </c>
      <c r="J49" s="7">
        <f t="shared" si="19"/>
        <v>19254531.50199163</v>
      </c>
      <c r="K49" s="8">
        <f t="shared" si="4"/>
        <v>-1.2444299113363116E-2</v>
      </c>
      <c r="L49" s="8">
        <f t="shared" si="5"/>
        <v>1.2444299113363311E-2</v>
      </c>
      <c r="M49" s="4">
        <f t="shared" si="6"/>
        <v>2007444.368906758</v>
      </c>
      <c r="N49" s="4">
        <f t="shared" si="7"/>
        <v>17247091.806131851</v>
      </c>
      <c r="O49" s="149">
        <f t="shared" si="8"/>
        <v>156876.77025124989</v>
      </c>
      <c r="P49" s="149">
        <f t="shared" si="9"/>
        <v>770181.2600796686</v>
      </c>
      <c r="Q49" s="152">
        <f t="shared" si="10"/>
        <v>148565.71971272174</v>
      </c>
      <c r="R49" s="152">
        <f t="shared" si="11"/>
        <v>0</v>
      </c>
      <c r="S49" s="140">
        <f t="shared" si="20"/>
        <v>2241092.0448280177</v>
      </c>
      <c r="T49" s="134">
        <f t="shared" si="21"/>
        <v>156876.77025124992</v>
      </c>
      <c r="U49" s="134">
        <f t="shared" si="22"/>
        <v>770181.26007966523</v>
      </c>
      <c r="V49" s="134">
        <f t="shared" si="23"/>
        <v>2799145.5212032469</v>
      </c>
      <c r="W49" s="5">
        <f t="shared" si="24"/>
        <v>22422686.250197548</v>
      </c>
      <c r="X49" s="140">
        <f t="shared" si="12"/>
        <v>22284.857956908261</v>
      </c>
      <c r="Y49" s="141">
        <f t="shared" si="25"/>
        <v>46284667.545309596</v>
      </c>
      <c r="Z49" s="12">
        <f t="shared" si="13"/>
        <v>0.77584469029740522</v>
      </c>
      <c r="AA49" s="5">
        <f t="shared" si="26"/>
        <v>35516893.805948101</v>
      </c>
    </row>
    <row r="50" spans="1:27" x14ac:dyDescent="0.3">
      <c r="A50">
        <v>30</v>
      </c>
      <c r="B50" s="4">
        <f t="shared" si="0"/>
        <v>46284667.545309596</v>
      </c>
      <c r="C50" s="4">
        <f t="shared" si="1"/>
        <v>20159309.34741262</v>
      </c>
      <c r="D50" s="4">
        <f t="shared" si="2"/>
        <v>26125358.197896972</v>
      </c>
      <c r="E50" s="8">
        <f t="shared" si="14"/>
        <v>0.43555048391949674</v>
      </c>
      <c r="F50" s="8">
        <f t="shared" si="15"/>
        <v>0.5644495160805032</v>
      </c>
      <c r="G50" s="9">
        <f t="shared" si="16"/>
        <v>9.4322017133331174E-2</v>
      </c>
      <c r="H50" s="10">
        <f t="shared" si="17"/>
        <v>0.90567798286666878</v>
      </c>
      <c r="I50" s="5">
        <f t="shared" si="18"/>
        <v>1901466.7216627763</v>
      </c>
      <c r="J50" s="7">
        <f t="shared" si="19"/>
        <v>18257842.625749841</v>
      </c>
      <c r="K50" s="8">
        <f t="shared" si="4"/>
        <v>-2.7988525997683145E-2</v>
      </c>
      <c r="L50" s="8">
        <f t="shared" si="5"/>
        <v>2.79885259976832E-2</v>
      </c>
      <c r="M50" s="4">
        <f t="shared" si="6"/>
        <v>1193484.7100333127</v>
      </c>
      <c r="N50" s="4">
        <f t="shared" si="7"/>
        <v>15715370.942892727</v>
      </c>
      <c r="O50" s="149">
        <f t="shared" si="8"/>
        <v>622801.52188489656</v>
      </c>
      <c r="P50" s="149">
        <f t="shared" si="9"/>
        <v>1176835.1708825908</v>
      </c>
      <c r="Q50" s="152">
        <f t="shared" si="10"/>
        <v>725840.69019011164</v>
      </c>
      <c r="R50" s="152">
        <f t="shared" si="11"/>
        <v>0</v>
      </c>
      <c r="S50" s="140">
        <f t="shared" si="20"/>
        <v>2314233.3772654799</v>
      </c>
      <c r="T50" s="134">
        <f t="shared" si="21"/>
        <v>133102.67051639434</v>
      </c>
      <c r="U50" s="134">
        <f t="shared" si="22"/>
        <v>730313.70502999367</v>
      </c>
      <c r="V50" s="134">
        <f t="shared" si="23"/>
        <v>3135042.9837476364</v>
      </c>
      <c r="W50" s="5">
        <f t="shared" si="24"/>
        <v>21022725.722959008</v>
      </c>
      <c r="X50" s="140">
        <f t="shared" si="12"/>
        <v>108876.10352851675</v>
      </c>
      <c r="Y50" s="141">
        <f t="shared" si="25"/>
        <v>47860017.423809625</v>
      </c>
      <c r="Z50" s="12">
        <f t="shared" si="13"/>
        <v>0.81136158410335346</v>
      </c>
      <c r="AA50" s="5">
        <f t="shared" si="26"/>
        <v>36227231.682067066</v>
      </c>
    </row>
    <row r="51" spans="1:27" x14ac:dyDescent="0.3">
      <c r="A51">
        <v>31</v>
      </c>
      <c r="B51" s="4">
        <f t="shared" si="0"/>
        <v>47860017.423809625</v>
      </c>
      <c r="C51" s="4">
        <f t="shared" si="1"/>
        <v>18599616.242165007</v>
      </c>
      <c r="D51" s="4">
        <f t="shared" si="2"/>
        <v>29260401.181644607</v>
      </c>
      <c r="E51" s="8">
        <f t="shared" si="14"/>
        <v>0.38862535459320546</v>
      </c>
      <c r="F51" s="8">
        <f t="shared" si="15"/>
        <v>0.61137464540679431</v>
      </c>
      <c r="G51" s="9">
        <f t="shared" si="16"/>
        <v>6.8132506301975634E-2</v>
      </c>
      <c r="H51" s="10">
        <f t="shared" si="17"/>
        <v>0.93186749369802435</v>
      </c>
      <c r="I51" s="5">
        <f t="shared" si="18"/>
        <v>1267238.4708336357</v>
      </c>
      <c r="J51" s="7">
        <f t="shared" si="19"/>
        <v>17332377.77133137</v>
      </c>
      <c r="K51" s="8">
        <f t="shared" si="4"/>
        <v>-1.9960369695422184E-2</v>
      </c>
      <c r="L51" s="8">
        <f t="shared" si="5"/>
        <v>1.9960369695422253E-2</v>
      </c>
      <c r="M51" s="4">
        <f t="shared" si="6"/>
        <v>680795.54145280016</v>
      </c>
      <c r="N51" s="4">
        <f t="shared" si="7"/>
        <v>13856666.435025858</v>
      </c>
      <c r="O51" s="149">
        <f t="shared" si="8"/>
        <v>512108.47540217132</v>
      </c>
      <c r="P51" s="149">
        <f t="shared" si="9"/>
        <v>1939046.7229053043</v>
      </c>
      <c r="Q51" s="152">
        <f t="shared" si="10"/>
        <v>914001.80638534389</v>
      </c>
      <c r="R51" s="152">
        <f t="shared" si="11"/>
        <v>0</v>
      </c>
      <c r="S51" s="140">
        <f t="shared" si="20"/>
        <v>2393000.8711904814</v>
      </c>
      <c r="T51" s="134">
        <f t="shared" si="21"/>
        <v>88706.692958354499</v>
      </c>
      <c r="U51" s="134">
        <f t="shared" si="22"/>
        <v>693295.1108532548</v>
      </c>
      <c r="V51" s="134">
        <f t="shared" si="23"/>
        <v>3511248.1417973526</v>
      </c>
      <c r="W51" s="5">
        <f t="shared" si="24"/>
        <v>19381618.045976616</v>
      </c>
      <c r="X51" s="140">
        <f t="shared" si="12"/>
        <v>137100.27095780158</v>
      </c>
      <c r="Y51" s="141">
        <f t="shared" si="25"/>
        <v>49623166.227270305</v>
      </c>
      <c r="Z51" s="12">
        <f t="shared" si="13"/>
        <v>0.84758881578542011</v>
      </c>
      <c r="AA51" s="5">
        <f t="shared" si="26"/>
        <v>36951776.315708399</v>
      </c>
    </row>
    <row r="52" spans="1:27" x14ac:dyDescent="0.3">
      <c r="A52">
        <v>32</v>
      </c>
      <c r="B52" s="4">
        <f t="shared" si="0"/>
        <v>49623166.227270305</v>
      </c>
      <c r="C52" s="4">
        <f t="shared" si="1"/>
        <v>16851516.903828334</v>
      </c>
      <c r="D52" s="4">
        <f t="shared" si="2"/>
        <v>32771649.32344196</v>
      </c>
      <c r="E52" s="8">
        <f t="shared" si="14"/>
        <v>0.33958971555038781</v>
      </c>
      <c r="F52" s="8">
        <f t="shared" si="15"/>
        <v>0.66041028444961192</v>
      </c>
      <c r="G52" s="9">
        <f t="shared" si="16"/>
        <v>0.05</v>
      </c>
      <c r="H52" s="10">
        <f t="shared" si="17"/>
        <v>0.95</v>
      </c>
      <c r="I52" s="5">
        <f t="shared" si="18"/>
        <v>842575.8451914168</v>
      </c>
      <c r="J52" s="7">
        <f t="shared" si="19"/>
        <v>16008941.058636917</v>
      </c>
      <c r="K52" s="8">
        <f t="shared" si="4"/>
        <v>-1.3682189150264062E-3</v>
      </c>
      <c r="L52" s="8">
        <f t="shared" si="5"/>
        <v>1.3682189150263646E-3</v>
      </c>
      <c r="M52" s="4">
        <f t="shared" si="6"/>
        <v>538108.07914299704</v>
      </c>
      <c r="N52" s="4">
        <f t="shared" si="7"/>
        <v>11522622.603405222</v>
      </c>
      <c r="O52" s="149">
        <f t="shared" si="8"/>
        <v>239390.15964364313</v>
      </c>
      <c r="P52" s="149">
        <f t="shared" si="9"/>
        <v>2769575.7017818317</v>
      </c>
      <c r="Q52" s="152">
        <f t="shared" si="10"/>
        <v>659149.37790391175</v>
      </c>
      <c r="R52" s="152">
        <f t="shared" si="11"/>
        <v>6021.8640939295501</v>
      </c>
      <c r="S52" s="140">
        <f t="shared" si="20"/>
        <v>2481158.3113635154</v>
      </c>
      <c r="T52" s="134">
        <f t="shared" si="21"/>
        <v>58980.309163399179</v>
      </c>
      <c r="U52" s="134">
        <f t="shared" si="22"/>
        <v>640357.64234547666</v>
      </c>
      <c r="V52" s="134">
        <f t="shared" si="23"/>
        <v>3932597.9188130349</v>
      </c>
      <c r="W52" s="5">
        <f t="shared" si="24"/>
        <v>17550854.85533721</v>
      </c>
      <c r="X52" s="140">
        <f t="shared" si="12"/>
        <v>99775.686299676192</v>
      </c>
      <c r="Y52" s="141">
        <f t="shared" si="25"/>
        <v>51674168.09992902</v>
      </c>
      <c r="Z52" s="12">
        <f t="shared" si="13"/>
        <v>0.8845405921011289</v>
      </c>
      <c r="AA52" s="5">
        <f t="shared" si="26"/>
        <v>37690811.842022575</v>
      </c>
    </row>
    <row r="53" spans="1:27" x14ac:dyDescent="0.3">
      <c r="A53">
        <v>33</v>
      </c>
      <c r="B53" s="4">
        <f t="shared" ref="B53:B84" si="27">IF($A53=1,$B$16,Y52)</f>
        <v>51674168.09992902</v>
      </c>
      <c r="C53" s="4">
        <f t="shared" ref="C53:C84" si="28">IF(OR($A53=1, MOD($A53,7)=1),$B$4*$B53, I52+T52+J52+U52-(S52+X52))</f>
        <v>14969920.857674018</v>
      </c>
      <c r="D53" s="4">
        <f t="shared" ref="D53:D84" si="29">IF(OR($A53=1, MOD($A53,7)=1),$B$3*$B53, D52+V52)</f>
        <v>36704247.242254995</v>
      </c>
      <c r="E53" s="8">
        <f t="shared" si="14"/>
        <v>0.28969834267529465</v>
      </c>
      <c r="F53" s="8">
        <f t="shared" si="15"/>
        <v>0.71030165732470518</v>
      </c>
      <c r="G53" s="9">
        <f t="shared" si="16"/>
        <v>0.05</v>
      </c>
      <c r="H53" s="10">
        <f t="shared" si="17"/>
        <v>0.95</v>
      </c>
      <c r="I53" s="5">
        <f t="shared" si="18"/>
        <v>748496.04288370092</v>
      </c>
      <c r="J53" s="7">
        <f t="shared" si="19"/>
        <v>14221424.814790316</v>
      </c>
      <c r="K53" s="8">
        <f t="shared" ref="K53:K84" si="30">- ((I53+T53)/$W53 - MAX(0.05, $B$5 * EXP(-LN(2) * MAX(0, (($D53+$V53)/($B53+$T53+$U53+$V53-$S53)) - $B$15) / 0.1)))</f>
        <v>-1.3682189150264062E-3</v>
      </c>
      <c r="L53" s="8">
        <f t="shared" ref="L53:L84" si="31">- ((J53+U53)/$W53 - (1 - MAX(0.05, $B$5 * EXP(-LN(2) * MAX(0, (($D53+$V53)/($B53+$T53+$U53+$V53-$S53)) - $B$15) / 0.1))))</f>
        <v>1.3682189150263646E-3</v>
      </c>
      <c r="M53" s="4">
        <f t="shared" ref="M53:M84" si="32">IF(OR($A53=1, MOD($A53,7)=1), I53, (M52 * MIN(1, 1+(K53/G53))) + ($C53)*(MAX((K53),0))) - G53*$S53</f>
        <v>394197.66584893496</v>
      </c>
      <c r="N53" s="4">
        <f t="shared" ref="N53:N84" si="33">IF(OR($A53=1, MOD($A53,7)=1), J53, (N52 * MIN(1, 1+(L53/H53))) + ($C53)*(MAX((L53),0))) - H53*$S53</f>
        <v>9088581.747532513</v>
      </c>
      <c r="O53" s="149">
        <f t="shared" ref="O53:O84" si="34">(I53+T53) - M53 - (G53*$S53)</f>
        <v>277507.67978680244</v>
      </c>
      <c r="P53" s="149">
        <f t="shared" ref="P53:P84" si="35">(J53+U53) - N53 - (H53*$S53)</f>
        <v>3247177.0751027865</v>
      </c>
      <c r="Q53" s="152">
        <f t="shared" ref="Q53:Q84" si="36">IF(MOD($A53,7)=0,O53, MAX(0,(-K53 + S53/(I53+T53))*O53))</f>
        <v>895631.5224141056</v>
      </c>
      <c r="R53" s="152">
        <f t="shared" ref="R53:R84" si="37">IF(MOD($A53,7)=0,P53, MAX(0,(-L53 + T53/(J53+U53))*P53))</f>
        <v>7060.3085601207331</v>
      </c>
      <c r="S53" s="140">
        <f t="shared" si="20"/>
        <v>2583708.404996451</v>
      </c>
      <c r="T53" s="134">
        <f t="shared" si="21"/>
        <v>52394.723001859071</v>
      </c>
      <c r="U53" s="134">
        <f t="shared" si="22"/>
        <v>568856.99259161262</v>
      </c>
      <c r="V53" s="134">
        <f t="shared" si="23"/>
        <v>4404509.6690705996</v>
      </c>
      <c r="W53" s="5">
        <f t="shared" si="24"/>
        <v>15591172.573267488</v>
      </c>
      <c r="X53" s="140">
        <f t="shared" ref="X53:X84" si="38">0.15 * (Q53+R53+ IF(MOD(A53,7)=0,SUM(V47:V53),0))</f>
        <v>135403.77464613394</v>
      </c>
      <c r="Y53" s="141">
        <f t="shared" si="25"/>
        <v>53980817.304950505</v>
      </c>
      <c r="Z53" s="12">
        <f t="shared" ref="Z53:Z84" si="39">((1 +$B$10)^$A53) - 1</f>
        <v>0.92223140394315162</v>
      </c>
      <c r="AA53" s="5">
        <f t="shared" si="26"/>
        <v>38444628.078863032</v>
      </c>
    </row>
    <row r="54" spans="1:27" x14ac:dyDescent="0.3">
      <c r="A54">
        <v>34</v>
      </c>
      <c r="B54" s="4">
        <f t="shared" si="27"/>
        <v>53980817.304950505</v>
      </c>
      <c r="C54" s="4">
        <f t="shared" si="28"/>
        <v>12872060.393624902</v>
      </c>
      <c r="D54" s="4">
        <f t="shared" si="29"/>
        <v>41108756.911325596</v>
      </c>
      <c r="E54" s="8">
        <f t="shared" si="14"/>
        <v>0.23845619678019256</v>
      </c>
      <c r="F54" s="8">
        <f t="shared" si="15"/>
        <v>0.7615438032198073</v>
      </c>
      <c r="G54" s="9">
        <f t="shared" si="16"/>
        <v>0.05</v>
      </c>
      <c r="H54" s="10">
        <f t="shared" si="17"/>
        <v>0.95</v>
      </c>
      <c r="I54" s="5">
        <f t="shared" si="18"/>
        <v>643603.01968124509</v>
      </c>
      <c r="J54" s="7">
        <f t="shared" si="19"/>
        <v>12228457.373943657</v>
      </c>
      <c r="K54" s="8">
        <f t="shared" si="30"/>
        <v>-1.3682189150263993E-3</v>
      </c>
      <c r="L54" s="8">
        <f t="shared" si="31"/>
        <v>1.3682189150263646E-3</v>
      </c>
      <c r="M54" s="4">
        <f t="shared" si="32"/>
        <v>248458.64853308332</v>
      </c>
      <c r="N54" s="4">
        <f t="shared" si="33"/>
        <v>6542104.7220532829</v>
      </c>
      <c r="O54" s="149">
        <f t="shared" si="34"/>
        <v>305244.53926347266</v>
      </c>
      <c r="P54" s="149">
        <f t="shared" si="35"/>
        <v>3611402.1248629708</v>
      </c>
      <c r="Q54" s="152">
        <f t="shared" si="36"/>
        <v>1196760.089951637</v>
      </c>
      <c r="R54" s="152">
        <f t="shared" si="37"/>
        <v>7852.2398829762396</v>
      </c>
      <c r="S54" s="140">
        <f t="shared" si="20"/>
        <v>2699040.8652475253</v>
      </c>
      <c r="T54" s="134">
        <f t="shared" si="21"/>
        <v>45052.211377687163</v>
      </c>
      <c r="U54" s="134">
        <f t="shared" si="22"/>
        <v>489138.29495774629</v>
      </c>
      <c r="V54" s="134">
        <f t="shared" si="23"/>
        <v>4933050.8293590713</v>
      </c>
      <c r="W54" s="5">
        <f t="shared" si="24"/>
        <v>13406250.899960335</v>
      </c>
      <c r="X54" s="140">
        <f t="shared" si="38"/>
        <v>180691.84947519199</v>
      </c>
      <c r="Y54" s="141">
        <f t="shared" si="25"/>
        <v>56568325.925922297</v>
      </c>
      <c r="Z54" s="12">
        <f t="shared" si="39"/>
        <v>0.96067603202201446</v>
      </c>
      <c r="AA54" s="5">
        <f t="shared" si="26"/>
        <v>39213520.640440293</v>
      </c>
    </row>
    <row r="55" spans="1:27" x14ac:dyDescent="0.3">
      <c r="A55">
        <v>35</v>
      </c>
      <c r="B55" s="4">
        <f t="shared" si="27"/>
        <v>56568325.925922297</v>
      </c>
      <c r="C55" s="4">
        <f t="shared" si="28"/>
        <v>10526518.185237618</v>
      </c>
      <c r="D55" s="4">
        <f t="shared" si="29"/>
        <v>46041807.740684666</v>
      </c>
      <c r="E55" s="8">
        <f t="shared" si="14"/>
        <v>0.18608502219108214</v>
      </c>
      <c r="F55" s="8">
        <f t="shared" si="15"/>
        <v>0.81391497780891764</v>
      </c>
      <c r="G55" s="9">
        <f t="shared" si="16"/>
        <v>0.05</v>
      </c>
      <c r="H55" s="10">
        <f t="shared" si="17"/>
        <v>0.95</v>
      </c>
      <c r="I55" s="5">
        <f t="shared" si="18"/>
        <v>526325.90926188091</v>
      </c>
      <c r="J55" s="7">
        <f t="shared" si="19"/>
        <v>10000192.275975736</v>
      </c>
      <c r="K55" s="8">
        <f t="shared" si="30"/>
        <v>-1.3682189150263993E-3</v>
      </c>
      <c r="L55" s="8">
        <f t="shared" si="31"/>
        <v>1.3682189150264756E-3</v>
      </c>
      <c r="M55" s="4">
        <f t="shared" si="32"/>
        <v>100238.91726778037</v>
      </c>
      <c r="N55" s="4">
        <f t="shared" si="33"/>
        <v>3869511.8218623865</v>
      </c>
      <c r="O55" s="149">
        <f t="shared" si="34"/>
        <v>321508.99082762643</v>
      </c>
      <c r="P55" s="149">
        <f t="shared" si="35"/>
        <v>3843692.6636710698</v>
      </c>
      <c r="Q55" s="152">
        <f t="shared" si="36"/>
        <v>321508.99082762643</v>
      </c>
      <c r="R55" s="152">
        <f t="shared" si="37"/>
        <v>3843692.6636710698</v>
      </c>
      <c r="S55" s="140">
        <f t="shared" si="20"/>
        <v>2828416.296296115</v>
      </c>
      <c r="T55" s="134">
        <f t="shared" si="21"/>
        <v>36842.81364833167</v>
      </c>
      <c r="U55" s="134">
        <f t="shared" si="22"/>
        <v>400007.69103902945</v>
      </c>
      <c r="V55" s="134">
        <f t="shared" si="23"/>
        <v>5525016.9288821593</v>
      </c>
      <c r="W55" s="5">
        <f t="shared" si="24"/>
        <v>10963368.68992498</v>
      </c>
      <c r="X55" s="140">
        <f t="shared" si="38"/>
        <v>4860872.0471057696</v>
      </c>
      <c r="Y55" s="141">
        <f t="shared" si="25"/>
        <v>54840905.016089931</v>
      </c>
      <c r="Z55" s="12">
        <f t="shared" si="39"/>
        <v>0.99988955266245472</v>
      </c>
      <c r="AA55" s="5">
        <f t="shared" si="26"/>
        <v>39997791.053249091</v>
      </c>
    </row>
    <row r="56" spans="1:27" x14ac:dyDescent="0.3">
      <c r="A56">
        <v>36</v>
      </c>
      <c r="B56" s="4">
        <f t="shared" si="27"/>
        <v>54840905.016089931</v>
      </c>
      <c r="C56" s="4">
        <f t="shared" si="28"/>
        <v>26300564.23134001</v>
      </c>
      <c r="D56" s="4">
        <f t="shared" si="29"/>
        <v>28540340.784749921</v>
      </c>
      <c r="E56" s="8">
        <f t="shared" si="14"/>
        <v>0.47957932538902504</v>
      </c>
      <c r="F56" s="8">
        <f t="shared" si="15"/>
        <v>0.52042067461097496</v>
      </c>
      <c r="G56" s="9">
        <f t="shared" si="16"/>
        <v>0.10425825637437004</v>
      </c>
      <c r="H56" s="10">
        <f t="shared" si="17"/>
        <v>0.89574174362562997</v>
      </c>
      <c r="I56" s="5">
        <f t="shared" si="18"/>
        <v>2742050.9684216334</v>
      </c>
      <c r="J56" s="7">
        <f t="shared" si="19"/>
        <v>23558513.262918375</v>
      </c>
      <c r="K56" s="8">
        <f t="shared" si="30"/>
        <v>-1.2444299113363144E-2</v>
      </c>
      <c r="L56" s="8">
        <f t="shared" si="31"/>
        <v>1.24442991133632E-2</v>
      </c>
      <c r="M56" s="4">
        <f t="shared" si="32"/>
        <v>2456170.1116731344</v>
      </c>
      <c r="N56" s="4">
        <f t="shared" si="33"/>
        <v>21102348.868862376</v>
      </c>
      <c r="O56" s="149">
        <f t="shared" si="34"/>
        <v>191943.56778951449</v>
      </c>
      <c r="P56" s="149">
        <f t="shared" si="35"/>
        <v>942340.53051673807</v>
      </c>
      <c r="Q56" s="152">
        <f t="shared" si="36"/>
        <v>181774.74107355688</v>
      </c>
      <c r="R56" s="152">
        <f t="shared" si="37"/>
        <v>0</v>
      </c>
      <c r="S56" s="140">
        <f t="shared" si="20"/>
        <v>2742045.2508044969</v>
      </c>
      <c r="T56" s="134">
        <f t="shared" si="21"/>
        <v>191943.56778951435</v>
      </c>
      <c r="U56" s="134">
        <f t="shared" si="22"/>
        <v>942340.53051673505</v>
      </c>
      <c r="V56" s="134">
        <f t="shared" si="23"/>
        <v>3424840.8941699904</v>
      </c>
      <c r="W56" s="5">
        <f t="shared" si="24"/>
        <v>27434848.32964626</v>
      </c>
      <c r="X56" s="140">
        <f t="shared" si="38"/>
        <v>27266.211161033531</v>
      </c>
      <c r="Y56" s="141">
        <f t="shared" si="25"/>
        <v>56630718.546600647</v>
      </c>
      <c r="Z56" s="12">
        <f t="shared" si="39"/>
        <v>1.0398873437157037</v>
      </c>
      <c r="AA56" s="5">
        <f t="shared" si="26"/>
        <v>40797746.874314077</v>
      </c>
    </row>
    <row r="57" spans="1:27" x14ac:dyDescent="0.3">
      <c r="A57">
        <v>37</v>
      </c>
      <c r="B57" s="4">
        <f t="shared" si="27"/>
        <v>56630718.546600647</v>
      </c>
      <c r="C57" s="4">
        <f t="shared" si="28"/>
        <v>24665536.867680728</v>
      </c>
      <c r="D57" s="4">
        <f t="shared" si="29"/>
        <v>31965181.678919911</v>
      </c>
      <c r="E57" s="8">
        <f t="shared" si="14"/>
        <v>0.43555048391949669</v>
      </c>
      <c r="F57" s="8">
        <f t="shared" si="15"/>
        <v>0.5644495160805032</v>
      </c>
      <c r="G57" s="9">
        <f t="shared" si="16"/>
        <v>9.4322017133331174E-2</v>
      </c>
      <c r="H57" s="10">
        <f t="shared" si="17"/>
        <v>0.90567798286666878</v>
      </c>
      <c r="I57" s="5">
        <f t="shared" si="18"/>
        <v>2326503.1910361932</v>
      </c>
      <c r="J57" s="7">
        <f t="shared" si="19"/>
        <v>22339033.676644534</v>
      </c>
      <c r="K57" s="8">
        <f t="shared" si="30"/>
        <v>-2.7988525997683145E-2</v>
      </c>
      <c r="L57" s="8">
        <f t="shared" si="31"/>
        <v>2.79885259976832E-2</v>
      </c>
      <c r="M57" s="4">
        <f t="shared" si="32"/>
        <v>1460265.3597415122</v>
      </c>
      <c r="N57" s="4">
        <f t="shared" si="33"/>
        <v>19228241.141651507</v>
      </c>
      <c r="O57" s="149">
        <f t="shared" si="34"/>
        <v>762016.87441594829</v>
      </c>
      <c r="P57" s="149">
        <f t="shared" si="35"/>
        <v>1439894.1349800406</v>
      </c>
      <c r="Q57" s="152">
        <f t="shared" si="36"/>
        <v>888088.47542412649</v>
      </c>
      <c r="R57" s="152">
        <f t="shared" si="37"/>
        <v>0</v>
      </c>
      <c r="S57" s="140">
        <f t="shared" si="20"/>
        <v>2831535.9273300325</v>
      </c>
      <c r="T57" s="134">
        <f t="shared" si="21"/>
        <v>162855.22337253354</v>
      </c>
      <c r="U57" s="134">
        <f t="shared" si="22"/>
        <v>893561.34706578136</v>
      </c>
      <c r="V57" s="134">
        <f t="shared" si="23"/>
        <v>3835821.8014703891</v>
      </c>
      <c r="W57" s="5">
        <f t="shared" si="24"/>
        <v>25721953.438119043</v>
      </c>
      <c r="X57" s="140">
        <f t="shared" si="38"/>
        <v>133213.27131361896</v>
      </c>
      <c r="Y57" s="141">
        <f t="shared" si="25"/>
        <v>58558207.719865702</v>
      </c>
      <c r="Z57" s="12">
        <f t="shared" si="39"/>
        <v>1.080685090590018</v>
      </c>
      <c r="AA57" s="5">
        <f t="shared" si="26"/>
        <v>41613701.811800361</v>
      </c>
    </row>
    <row r="58" spans="1:27" x14ac:dyDescent="0.3">
      <c r="A58">
        <v>38</v>
      </c>
      <c r="B58" s="4">
        <f t="shared" si="27"/>
        <v>58558207.719865702</v>
      </c>
      <c r="C58" s="4">
        <f t="shared" si="28"/>
        <v>22757204.239475392</v>
      </c>
      <c r="D58" s="4">
        <f t="shared" si="29"/>
        <v>35801003.480390303</v>
      </c>
      <c r="E58" s="8">
        <f t="shared" si="14"/>
        <v>0.38862535459320552</v>
      </c>
      <c r="F58" s="8">
        <f t="shared" si="15"/>
        <v>0.61137464540679443</v>
      </c>
      <c r="G58" s="9">
        <f t="shared" si="16"/>
        <v>6.8132506301975579E-2</v>
      </c>
      <c r="H58" s="10">
        <f t="shared" si="17"/>
        <v>0.93186749369802446</v>
      </c>
      <c r="I58" s="5">
        <f t="shared" si="18"/>
        <v>1550505.3612614025</v>
      </c>
      <c r="J58" s="7">
        <f t="shared" si="19"/>
        <v>21206698.87821399</v>
      </c>
      <c r="K58" s="8">
        <f t="shared" si="30"/>
        <v>-1.9960369695422128E-2</v>
      </c>
      <c r="L58" s="8">
        <f t="shared" si="31"/>
        <v>1.996036969542192E-2</v>
      </c>
      <c r="M58" s="4">
        <f t="shared" si="32"/>
        <v>832974.34637620393</v>
      </c>
      <c r="N58" s="4">
        <f t="shared" si="33"/>
        <v>16954058.838337682</v>
      </c>
      <c r="O58" s="149">
        <f t="shared" si="34"/>
        <v>626580.51734818937</v>
      </c>
      <c r="P58" s="149">
        <f t="shared" si="35"/>
        <v>2372483.4818368885</v>
      </c>
      <c r="Q58" s="152">
        <f t="shared" si="36"/>
        <v>1118309.4055460745</v>
      </c>
      <c r="R58" s="152">
        <f t="shared" si="37"/>
        <v>0</v>
      </c>
      <c r="S58" s="140">
        <f t="shared" si="20"/>
        <v>2927910.3859932851</v>
      </c>
      <c r="T58" s="134">
        <f t="shared" si="21"/>
        <v>108535.37528829818</v>
      </c>
      <c r="U58" s="134">
        <f t="shared" si="22"/>
        <v>848267.95512855961</v>
      </c>
      <c r="V58" s="134">
        <f t="shared" si="23"/>
        <v>4296120.4176468365</v>
      </c>
      <c r="W58" s="5">
        <f t="shared" si="24"/>
        <v>23714007.569892246</v>
      </c>
      <c r="X58" s="140">
        <f t="shared" si="38"/>
        <v>167746.41083191117</v>
      </c>
      <c r="Y58" s="141">
        <f t="shared" si="25"/>
        <v>60715474.671104193</v>
      </c>
      <c r="Z58" s="12">
        <f t="shared" si="39"/>
        <v>1.1222987924018186</v>
      </c>
      <c r="AA58" s="5">
        <f t="shared" si="26"/>
        <v>42445975.848036371</v>
      </c>
    </row>
    <row r="59" spans="1:27" x14ac:dyDescent="0.3">
      <c r="A59">
        <v>39</v>
      </c>
      <c r="B59" s="4">
        <f t="shared" si="27"/>
        <v>60715474.671104193</v>
      </c>
      <c r="C59" s="4">
        <f t="shared" si="28"/>
        <v>20618350.773067053</v>
      </c>
      <c r="D59" s="4">
        <f t="shared" si="29"/>
        <v>40097123.898037136</v>
      </c>
      <c r="E59" s="8">
        <f t="shared" si="14"/>
        <v>0.33958971555038786</v>
      </c>
      <c r="F59" s="8">
        <f t="shared" si="15"/>
        <v>0.66041028444961203</v>
      </c>
      <c r="G59" s="9">
        <f t="shared" si="16"/>
        <v>0.05</v>
      </c>
      <c r="H59" s="10">
        <f t="shared" si="17"/>
        <v>0.95</v>
      </c>
      <c r="I59" s="5">
        <f t="shared" si="18"/>
        <v>1030917.5386533528</v>
      </c>
      <c r="J59" s="7">
        <f t="shared" si="19"/>
        <v>19587433.234413698</v>
      </c>
      <c r="K59" s="8">
        <f t="shared" si="30"/>
        <v>-1.3682189150264062E-3</v>
      </c>
      <c r="L59" s="8">
        <f t="shared" si="31"/>
        <v>1.3682189150264756E-3</v>
      </c>
      <c r="M59" s="4">
        <f t="shared" si="32"/>
        <v>658391.83456956968</v>
      </c>
      <c r="N59" s="4">
        <f t="shared" si="33"/>
        <v>14098284.208984593</v>
      </c>
      <c r="O59" s="149">
        <f t="shared" si="34"/>
        <v>292901.24511175737</v>
      </c>
      <c r="P59" s="149">
        <f t="shared" si="35"/>
        <v>3388661.3079282045</v>
      </c>
      <c r="Q59" s="152">
        <f t="shared" si="36"/>
        <v>806489.597526039</v>
      </c>
      <c r="R59" s="152">
        <f t="shared" si="37"/>
        <v>7367.9364834013177</v>
      </c>
      <c r="S59" s="140">
        <f t="shared" si="20"/>
        <v>3035773.7335552098</v>
      </c>
      <c r="T59" s="134">
        <f t="shared" si="21"/>
        <v>72164.227705734695</v>
      </c>
      <c r="U59" s="134">
        <f t="shared" si="22"/>
        <v>783497.32937654795</v>
      </c>
      <c r="V59" s="134">
        <f t="shared" si="23"/>
        <v>4811654.8677644562</v>
      </c>
      <c r="W59" s="5">
        <f t="shared" si="24"/>
        <v>21474012.330149338</v>
      </c>
      <c r="X59" s="140">
        <f t="shared" si="38"/>
        <v>122078.63010141604</v>
      </c>
      <c r="Y59" s="141">
        <f t="shared" si="25"/>
        <v>63224938.732294306</v>
      </c>
      <c r="Z59" s="12">
        <f t="shared" si="39"/>
        <v>1.1647447682498542</v>
      </c>
      <c r="AA59" s="5">
        <f t="shared" si="26"/>
        <v>43294895.364997081</v>
      </c>
    </row>
    <row r="60" spans="1:27" x14ac:dyDescent="0.3">
      <c r="A60">
        <v>40</v>
      </c>
      <c r="B60" s="4">
        <f t="shared" si="27"/>
        <v>63224938.732294306</v>
      </c>
      <c r="C60" s="4">
        <f t="shared" si="28"/>
        <v>18316159.966492709</v>
      </c>
      <c r="D60" s="4">
        <f t="shared" si="29"/>
        <v>44908778.765801594</v>
      </c>
      <c r="E60" s="8">
        <f t="shared" si="14"/>
        <v>0.28969834267529471</v>
      </c>
      <c r="F60" s="8">
        <f t="shared" si="15"/>
        <v>0.71030165732470518</v>
      </c>
      <c r="G60" s="9">
        <f t="shared" si="16"/>
        <v>0.05</v>
      </c>
      <c r="H60" s="10">
        <f t="shared" si="17"/>
        <v>0.95</v>
      </c>
      <c r="I60" s="5">
        <f t="shared" si="18"/>
        <v>915807.99832463544</v>
      </c>
      <c r="J60" s="7">
        <f t="shared" si="19"/>
        <v>17400351.968168072</v>
      </c>
      <c r="K60" s="8">
        <f t="shared" si="30"/>
        <v>-1.3682189150264062E-3</v>
      </c>
      <c r="L60" s="8">
        <f t="shared" si="31"/>
        <v>1.3682189150263646E-3</v>
      </c>
      <c r="M60" s="4">
        <f t="shared" si="32"/>
        <v>482313.00450769346</v>
      </c>
      <c r="N60" s="4">
        <f t="shared" si="33"/>
        <v>11120160.135717418</v>
      </c>
      <c r="O60" s="149">
        <f t="shared" si="34"/>
        <v>339539.20686893072</v>
      </c>
      <c r="P60" s="149">
        <f t="shared" si="35"/>
        <v>3973021.3213933986</v>
      </c>
      <c r="Q60" s="152">
        <f t="shared" si="36"/>
        <v>1095832.7964145972</v>
      </c>
      <c r="R60" s="152">
        <f t="shared" si="37"/>
        <v>8638.5053220690388</v>
      </c>
      <c r="S60" s="140">
        <f t="shared" si="20"/>
        <v>3161246.9366147155</v>
      </c>
      <c r="T60" s="134">
        <f t="shared" si="21"/>
        <v>64106.55988272449</v>
      </c>
      <c r="U60" s="134">
        <f t="shared" si="22"/>
        <v>696014.07872672286</v>
      </c>
      <c r="V60" s="134">
        <f t="shared" si="23"/>
        <v>5389053.4518961906</v>
      </c>
      <c r="W60" s="5">
        <f t="shared" si="24"/>
        <v>19076280.605102155</v>
      </c>
      <c r="X60" s="140">
        <f t="shared" si="38"/>
        <v>165670.69526049992</v>
      </c>
      <c r="Y60" s="141">
        <f t="shared" si="25"/>
        <v>66047195.190924741</v>
      </c>
      <c r="Z60" s="12">
        <f t="shared" si="39"/>
        <v>1.2080396636148518</v>
      </c>
      <c r="AA60" s="5">
        <f t="shared" si="26"/>
        <v>44160793.27229704</v>
      </c>
    </row>
    <row r="61" spans="1:27" x14ac:dyDescent="0.3">
      <c r="A61">
        <v>41</v>
      </c>
      <c r="B61" s="4">
        <f t="shared" si="27"/>
        <v>66047195.190924741</v>
      </c>
      <c r="C61" s="4">
        <f t="shared" si="28"/>
        <v>15749362.97322694</v>
      </c>
      <c r="D61" s="4">
        <f t="shared" si="29"/>
        <v>50297832.217697784</v>
      </c>
      <c r="E61" s="8">
        <f t="shared" si="14"/>
        <v>0.23845619678019259</v>
      </c>
      <c r="F61" s="8">
        <f t="shared" si="15"/>
        <v>0.76154380321980719</v>
      </c>
      <c r="G61" s="9">
        <f t="shared" si="16"/>
        <v>0.05</v>
      </c>
      <c r="H61" s="10">
        <f t="shared" si="17"/>
        <v>0.95</v>
      </c>
      <c r="I61" s="5">
        <f t="shared" si="18"/>
        <v>787468.14866134711</v>
      </c>
      <c r="J61" s="7">
        <f t="shared" si="19"/>
        <v>14961894.824565593</v>
      </c>
      <c r="K61" s="8">
        <f t="shared" si="30"/>
        <v>-1.3682189150264062E-3</v>
      </c>
      <c r="L61" s="8">
        <f t="shared" si="31"/>
        <v>1.3682189150263646E-3</v>
      </c>
      <c r="M61" s="4">
        <f t="shared" si="32"/>
        <v>303996.82101576868</v>
      </c>
      <c r="N61" s="4">
        <f t="shared" si="33"/>
        <v>8004466.9404680775</v>
      </c>
      <c r="O61" s="149">
        <f t="shared" si="34"/>
        <v>373476.11007456086</v>
      </c>
      <c r="P61" s="149">
        <f t="shared" si="35"/>
        <v>4418661.9055112135</v>
      </c>
      <c r="Q61" s="152">
        <f t="shared" si="36"/>
        <v>1464272.8881115972</v>
      </c>
      <c r="R61" s="152">
        <f t="shared" si="37"/>
        <v>9607.4577253452353</v>
      </c>
      <c r="S61" s="140">
        <f t="shared" si="20"/>
        <v>3302359.7595462371</v>
      </c>
      <c r="T61" s="134">
        <f t="shared" si="21"/>
        <v>55122.770406294301</v>
      </c>
      <c r="U61" s="134">
        <f t="shared" si="22"/>
        <v>598475.7929826238</v>
      </c>
      <c r="V61" s="134">
        <f t="shared" si="23"/>
        <v>6035739.866123734</v>
      </c>
      <c r="W61" s="5">
        <f t="shared" si="24"/>
        <v>16402961.536615858</v>
      </c>
      <c r="X61" s="140">
        <f t="shared" si="38"/>
        <v>221082.05187554134</v>
      </c>
      <c r="Y61" s="141">
        <f t="shared" si="25"/>
        <v>69213091.809015602</v>
      </c>
      <c r="Z61" s="12">
        <f t="shared" si="39"/>
        <v>1.2522004568871488</v>
      </c>
      <c r="AA61" s="5">
        <f t="shared" si="26"/>
        <v>45044009.137742974</v>
      </c>
    </row>
    <row r="62" spans="1:27" x14ac:dyDescent="0.3">
      <c r="A62">
        <v>42</v>
      </c>
      <c r="B62" s="4">
        <f t="shared" si="27"/>
        <v>69213091.809015602</v>
      </c>
      <c r="C62" s="4">
        <f t="shared" si="28"/>
        <v>12879519.72519408</v>
      </c>
      <c r="D62" s="4">
        <f t="shared" si="29"/>
        <v>56333572.08382152</v>
      </c>
      <c r="E62" s="8">
        <f t="shared" si="14"/>
        <v>0.18608502219108222</v>
      </c>
      <c r="F62" s="8">
        <f t="shared" si="15"/>
        <v>0.81391497780891775</v>
      </c>
      <c r="G62" s="9">
        <f t="shared" si="16"/>
        <v>0.05</v>
      </c>
      <c r="H62" s="10">
        <f t="shared" si="17"/>
        <v>0.95</v>
      </c>
      <c r="I62" s="5">
        <f t="shared" si="18"/>
        <v>643975.98625970399</v>
      </c>
      <c r="J62" s="7">
        <f t="shared" si="19"/>
        <v>12235543.738934375</v>
      </c>
      <c r="K62" s="8">
        <f t="shared" si="30"/>
        <v>-1.3682189150263993E-3</v>
      </c>
      <c r="L62" s="8">
        <f t="shared" si="31"/>
        <v>1.3682189150263646E-3</v>
      </c>
      <c r="M62" s="4">
        <f t="shared" si="32"/>
        <v>122645.40748079625</v>
      </c>
      <c r="N62" s="4">
        <f t="shared" si="33"/>
        <v>4734467.0820443025</v>
      </c>
      <c r="O62" s="149">
        <f t="shared" si="34"/>
        <v>393376.16829454794</v>
      </c>
      <c r="P62" s="149">
        <f t="shared" si="35"/>
        <v>4702876.5455192076</v>
      </c>
      <c r="Q62" s="152">
        <f t="shared" si="36"/>
        <v>393376.16829454794</v>
      </c>
      <c r="R62" s="152">
        <f t="shared" si="37"/>
        <v>4702876.5455192076</v>
      </c>
      <c r="S62" s="140">
        <f t="shared" si="20"/>
        <v>3460654.5904507805</v>
      </c>
      <c r="T62" s="134">
        <f t="shared" si="21"/>
        <v>45078.319038179281</v>
      </c>
      <c r="U62" s="134">
        <f t="shared" si="22"/>
        <v>489421.74955737503</v>
      </c>
      <c r="V62" s="134">
        <f t="shared" si="23"/>
        <v>6760028.6500585824</v>
      </c>
      <c r="W62" s="5">
        <f t="shared" si="24"/>
        <v>13414019.793789634</v>
      </c>
      <c r="X62" s="140">
        <f t="shared" si="38"/>
        <v>5947426.8994415896</v>
      </c>
      <c r="Y62" s="141">
        <f t="shared" si="25"/>
        <v>67099539.037777379</v>
      </c>
      <c r="Z62" s="12">
        <f t="shared" si="39"/>
        <v>1.2972444660248916</v>
      </c>
      <c r="AA62" s="5">
        <f t="shared" si="26"/>
        <v>45944889.320497833</v>
      </c>
    </row>
    <row r="63" spans="1:27" x14ac:dyDescent="0.3">
      <c r="A63">
        <v>43</v>
      </c>
      <c r="B63" s="4">
        <f t="shared" si="27"/>
        <v>67099539.037777379</v>
      </c>
      <c r="C63" s="4">
        <f t="shared" si="28"/>
        <v>32179551.665651824</v>
      </c>
      <c r="D63" s="4">
        <f t="shared" si="29"/>
        <v>34919987.372125551</v>
      </c>
      <c r="E63" s="8">
        <f t="shared" si="14"/>
        <v>0.47957932538902504</v>
      </c>
      <c r="F63" s="8">
        <f t="shared" si="15"/>
        <v>0.52042067461097496</v>
      </c>
      <c r="G63" s="9">
        <f t="shared" si="16"/>
        <v>0.10425825637437004</v>
      </c>
      <c r="H63" s="10">
        <f t="shared" si="17"/>
        <v>0.89574174362562997</v>
      </c>
      <c r="I63" s="5">
        <f t="shared" si="18"/>
        <v>3354983.9475698145</v>
      </c>
      <c r="J63" s="7">
        <f t="shared" si="19"/>
        <v>28824567.718082011</v>
      </c>
      <c r="K63" s="8">
        <f t="shared" si="30"/>
        <v>-1.2444299113363283E-2</v>
      </c>
      <c r="L63" s="8">
        <f t="shared" si="31"/>
        <v>1.24442991133632E-2</v>
      </c>
      <c r="M63" s="4">
        <f t="shared" si="32"/>
        <v>3005199.9003896825</v>
      </c>
      <c r="N63" s="4">
        <f t="shared" si="33"/>
        <v>25819374.813373275</v>
      </c>
      <c r="O63" s="149">
        <f t="shared" si="34"/>
        <v>234848.87632988696</v>
      </c>
      <c r="P63" s="149">
        <f t="shared" si="35"/>
        <v>1152982.7087232792</v>
      </c>
      <c r="Q63" s="152">
        <f t="shared" si="36"/>
        <v>222407.00315154318</v>
      </c>
      <c r="R63" s="152">
        <f t="shared" si="37"/>
        <v>0</v>
      </c>
      <c r="S63" s="140">
        <f t="shared" si="20"/>
        <v>3354976.9518888691</v>
      </c>
      <c r="T63" s="134">
        <f t="shared" si="21"/>
        <v>234848.87632988705</v>
      </c>
      <c r="U63" s="134">
        <f t="shared" si="22"/>
        <v>1152982.7087232803</v>
      </c>
      <c r="V63" s="134">
        <f t="shared" si="23"/>
        <v>4190398.4846550659</v>
      </c>
      <c r="W63" s="5">
        <f t="shared" si="24"/>
        <v>33567383.250704989</v>
      </c>
      <c r="X63" s="140">
        <f t="shared" si="38"/>
        <v>33361.050472731476</v>
      </c>
      <c r="Y63" s="141">
        <f t="shared" si="25"/>
        <v>69289431.105123997</v>
      </c>
      <c r="Z63" s="12">
        <f t="shared" si="39"/>
        <v>1.3431893553453893</v>
      </c>
      <c r="AA63" s="5">
        <f t="shared" si="26"/>
        <v>46863787.106907785</v>
      </c>
    </row>
    <row r="64" spans="1:27" x14ac:dyDescent="0.3">
      <c r="A64">
        <v>44</v>
      </c>
      <c r="B64" s="4">
        <f t="shared" si="27"/>
        <v>69289431.105123997</v>
      </c>
      <c r="C64" s="4">
        <f t="shared" si="28"/>
        <v>30179045.248343389</v>
      </c>
      <c r="D64" s="4">
        <f t="shared" si="29"/>
        <v>39110385.856780618</v>
      </c>
      <c r="E64" s="8">
        <f t="shared" si="14"/>
        <v>0.4355504839194968</v>
      </c>
      <c r="F64" s="8">
        <f t="shared" si="15"/>
        <v>0.56444951608050342</v>
      </c>
      <c r="G64" s="9">
        <f t="shared" si="16"/>
        <v>9.4322017133331021E-2</v>
      </c>
      <c r="H64" s="10">
        <f t="shared" si="17"/>
        <v>0.90567798286666901</v>
      </c>
      <c r="I64" s="5">
        <f t="shared" si="18"/>
        <v>2846548.4229818173</v>
      </c>
      <c r="J64" s="7">
        <f t="shared" si="19"/>
        <v>27332496.825361572</v>
      </c>
      <c r="K64" s="8">
        <f t="shared" si="30"/>
        <v>-2.7988525997683061E-2</v>
      </c>
      <c r="L64" s="8">
        <f t="shared" si="31"/>
        <v>2.7988525997682978E-2</v>
      </c>
      <c r="M64" s="4">
        <f t="shared" si="32"/>
        <v>1786679.7143982609</v>
      </c>
      <c r="N64" s="4">
        <f t="shared" si="33"/>
        <v>23526346.1960284</v>
      </c>
      <c r="O64" s="149">
        <f t="shared" si="34"/>
        <v>932351.15279947035</v>
      </c>
      <c r="P64" s="149">
        <f t="shared" si="35"/>
        <v>1761754.8924842463</v>
      </c>
      <c r="Q64" s="152">
        <f t="shared" si="36"/>
        <v>1086603.6457319167</v>
      </c>
      <c r="R64" s="152">
        <f t="shared" si="37"/>
        <v>0</v>
      </c>
      <c r="S64" s="140">
        <f t="shared" si="20"/>
        <v>3464471.5552562</v>
      </c>
      <c r="T64" s="134">
        <f t="shared" si="21"/>
        <v>199258.38960872722</v>
      </c>
      <c r="U64" s="134">
        <f t="shared" si="22"/>
        <v>1093299.8730144629</v>
      </c>
      <c r="V64" s="134">
        <f t="shared" si="23"/>
        <v>4693246.3028136743</v>
      </c>
      <c r="W64" s="5">
        <f t="shared" si="24"/>
        <v>31471603.510966577</v>
      </c>
      <c r="X64" s="140">
        <f t="shared" si="38"/>
        <v>162990.54685978749</v>
      </c>
      <c r="Y64" s="141">
        <f t="shared" si="25"/>
        <v>71647773.568444878</v>
      </c>
      <c r="Z64" s="12">
        <f t="shared" si="39"/>
        <v>1.3900531424522975</v>
      </c>
      <c r="AA64" s="5">
        <f t="shared" si="26"/>
        <v>47801062.849045947</v>
      </c>
    </row>
    <row r="65" spans="1:27" x14ac:dyDescent="0.3">
      <c r="A65">
        <v>45</v>
      </c>
      <c r="B65" s="4">
        <f t="shared" si="27"/>
        <v>71647773.568444878</v>
      </c>
      <c r="C65" s="4">
        <f t="shared" si="28"/>
        <v>27844141.408850588</v>
      </c>
      <c r="D65" s="4">
        <f t="shared" si="29"/>
        <v>43803632.15959429</v>
      </c>
      <c r="E65" s="8">
        <f t="shared" si="14"/>
        <v>0.38862535459320552</v>
      </c>
      <c r="F65" s="8">
        <f t="shared" si="15"/>
        <v>0.61137464540679454</v>
      </c>
      <c r="G65" s="9">
        <f t="shared" si="16"/>
        <v>6.8132506301975537E-2</v>
      </c>
      <c r="H65" s="10">
        <f t="shared" si="17"/>
        <v>0.93186749369802446</v>
      </c>
      <c r="I65" s="5">
        <f t="shared" si="18"/>
        <v>1897091.1400116107</v>
      </c>
      <c r="J65" s="7">
        <f t="shared" si="19"/>
        <v>25947050.268838976</v>
      </c>
      <c r="K65" s="8">
        <f t="shared" si="30"/>
        <v>-1.9960369695422087E-2</v>
      </c>
      <c r="L65" s="8">
        <f t="shared" si="31"/>
        <v>1.9960369695422031E-2</v>
      </c>
      <c r="M65" s="4">
        <f t="shared" si="32"/>
        <v>1019169.8086626932</v>
      </c>
      <c r="N65" s="4">
        <f t="shared" si="33"/>
        <v>20743813.993187152</v>
      </c>
      <c r="O65" s="149">
        <f t="shared" si="34"/>
        <v>766640.59194100089</v>
      </c>
      <c r="P65" s="149">
        <f t="shared" si="35"/>
        <v>2902806.7271918696</v>
      </c>
      <c r="Q65" s="152">
        <f t="shared" si="36"/>
        <v>1368286.0556684197</v>
      </c>
      <c r="R65" s="152">
        <f t="shared" si="37"/>
        <v>0</v>
      </c>
      <c r="S65" s="140">
        <f t="shared" si="20"/>
        <v>3582388.6784222443</v>
      </c>
      <c r="T65" s="134">
        <f t="shared" si="21"/>
        <v>132796.37980081275</v>
      </c>
      <c r="U65" s="134">
        <f t="shared" si="22"/>
        <v>1037882.0107535591</v>
      </c>
      <c r="V65" s="134">
        <f t="shared" si="23"/>
        <v>5256435.8591513149</v>
      </c>
      <c r="W65" s="5">
        <f t="shared" si="24"/>
        <v>29014819.79940496</v>
      </c>
      <c r="X65" s="140">
        <f t="shared" si="38"/>
        <v>205242.90835026294</v>
      </c>
      <c r="Y65" s="141">
        <f t="shared" si="25"/>
        <v>74287256.231378064</v>
      </c>
      <c r="Z65" s="12">
        <f t="shared" si="39"/>
        <v>1.4378542053013432</v>
      </c>
      <c r="AA65" s="5">
        <f t="shared" si="26"/>
        <v>48757084.106026866</v>
      </c>
    </row>
    <row r="66" spans="1:27" x14ac:dyDescent="0.3">
      <c r="A66">
        <v>46</v>
      </c>
      <c r="B66" s="4">
        <f t="shared" si="27"/>
        <v>74287256.231378064</v>
      </c>
      <c r="C66" s="4">
        <f t="shared" si="28"/>
        <v>25227188.212632455</v>
      </c>
      <c r="D66" s="4">
        <f t="shared" si="29"/>
        <v>49060068.018745601</v>
      </c>
      <c r="E66" s="8">
        <f t="shared" si="14"/>
        <v>0.33958971555038786</v>
      </c>
      <c r="F66" s="8">
        <f t="shared" si="15"/>
        <v>0.66041028444961203</v>
      </c>
      <c r="G66" s="9">
        <f t="shared" si="16"/>
        <v>0.05</v>
      </c>
      <c r="H66" s="10">
        <f t="shared" si="17"/>
        <v>0.95</v>
      </c>
      <c r="I66" s="5">
        <f t="shared" si="18"/>
        <v>1261359.4106316229</v>
      </c>
      <c r="J66" s="7">
        <f t="shared" si="19"/>
        <v>23965828.802000832</v>
      </c>
      <c r="K66" s="8">
        <f t="shared" si="30"/>
        <v>-1.3682189150264132E-3</v>
      </c>
      <c r="L66" s="8">
        <f t="shared" si="31"/>
        <v>1.3682189150263646E-3</v>
      </c>
      <c r="M66" s="4">
        <f t="shared" si="32"/>
        <v>805562.71988752508</v>
      </c>
      <c r="N66" s="4">
        <f t="shared" si="33"/>
        <v>17249685.63828215</v>
      </c>
      <c r="O66" s="149">
        <f t="shared" si="34"/>
        <v>358373.70890986628</v>
      </c>
      <c r="P66" s="149">
        <f t="shared" si="35"/>
        <v>4146131.644808257</v>
      </c>
      <c r="Q66" s="152">
        <f t="shared" si="36"/>
        <v>986764.90143411199</v>
      </c>
      <c r="R66" s="152">
        <f t="shared" si="37"/>
        <v>9014.897576012414</v>
      </c>
      <c r="S66" s="140">
        <f t="shared" si="20"/>
        <v>3714362.8115689033</v>
      </c>
      <c r="T66" s="134">
        <f t="shared" si="21"/>
        <v>88295.158744213608</v>
      </c>
      <c r="U66" s="134">
        <f t="shared" si="22"/>
        <v>958633.15208003332</v>
      </c>
      <c r="V66" s="134">
        <f t="shared" si="23"/>
        <v>5887208.162249472</v>
      </c>
      <c r="W66" s="5">
        <f t="shared" si="24"/>
        <v>26274116.5234567</v>
      </c>
      <c r="X66" s="140">
        <f t="shared" si="38"/>
        <v>149366.96985151866</v>
      </c>
      <c r="Y66" s="141">
        <f t="shared" si="25"/>
        <v>77357662.92303136</v>
      </c>
      <c r="Z66" s="12">
        <f t="shared" si="39"/>
        <v>1.4866112894073704</v>
      </c>
      <c r="AA66" s="5">
        <f t="shared" si="26"/>
        <v>49732225.788147405</v>
      </c>
    </row>
    <row r="67" spans="1:27" x14ac:dyDescent="0.3">
      <c r="A67">
        <v>47</v>
      </c>
      <c r="B67" s="4">
        <f t="shared" si="27"/>
        <v>77357662.92303136</v>
      </c>
      <c r="C67" s="4">
        <f t="shared" si="28"/>
        <v>22410386.742036279</v>
      </c>
      <c r="D67" s="4">
        <f t="shared" si="29"/>
        <v>54947276.180995077</v>
      </c>
      <c r="E67" s="8">
        <f t="shared" si="14"/>
        <v>0.28969834267529471</v>
      </c>
      <c r="F67" s="8">
        <f t="shared" si="15"/>
        <v>0.71030165732470529</v>
      </c>
      <c r="G67" s="9">
        <f t="shared" si="16"/>
        <v>0.05</v>
      </c>
      <c r="H67" s="10">
        <f t="shared" si="17"/>
        <v>0.95</v>
      </c>
      <c r="I67" s="5">
        <f t="shared" si="18"/>
        <v>1120519.3371018141</v>
      </c>
      <c r="J67" s="7">
        <f t="shared" si="19"/>
        <v>21289867.404934466</v>
      </c>
      <c r="K67" s="8">
        <f t="shared" si="30"/>
        <v>-1.3682189150263993E-3</v>
      </c>
      <c r="L67" s="8">
        <f t="shared" si="31"/>
        <v>1.3682189150263646E-3</v>
      </c>
      <c r="M67" s="4">
        <f t="shared" si="32"/>
        <v>590124.83956814208</v>
      </c>
      <c r="N67" s="4">
        <f t="shared" si="33"/>
        <v>13605858.964471672</v>
      </c>
      <c r="O67" s="149">
        <f t="shared" si="34"/>
        <v>415436.6938232205</v>
      </c>
      <c r="P67" s="149">
        <f t="shared" si="35"/>
        <v>4861114.147816184</v>
      </c>
      <c r="Q67" s="152">
        <f t="shared" si="36"/>
        <v>1340785.2310300954</v>
      </c>
      <c r="R67" s="152">
        <f t="shared" si="37"/>
        <v>10569.477745054664</v>
      </c>
      <c r="S67" s="140">
        <f t="shared" si="20"/>
        <v>3867883.1461515683</v>
      </c>
      <c r="T67" s="134">
        <f t="shared" si="21"/>
        <v>78436.353597126988</v>
      </c>
      <c r="U67" s="134">
        <f t="shared" si="22"/>
        <v>851594.69619737868</v>
      </c>
      <c r="V67" s="134">
        <f t="shared" si="23"/>
        <v>6593673.1417194093</v>
      </c>
      <c r="W67" s="5">
        <f t="shared" si="24"/>
        <v>23340417.791830786</v>
      </c>
      <c r="X67" s="140">
        <f t="shared" si="38"/>
        <v>202703.20631627252</v>
      </c>
      <c r="Y67" s="141">
        <f t="shared" si="25"/>
        <v>80810780.762077436</v>
      </c>
      <c r="Z67" s="12">
        <f t="shared" si="39"/>
        <v>1.5363435151955169</v>
      </c>
      <c r="AA67" s="5">
        <f t="shared" si="26"/>
        <v>50726870.303910337</v>
      </c>
    </row>
    <row r="68" spans="1:27" x14ac:dyDescent="0.3">
      <c r="A68">
        <v>48</v>
      </c>
      <c r="B68" s="4">
        <f t="shared" si="27"/>
        <v>80810780.762077436</v>
      </c>
      <c r="C68" s="4">
        <f t="shared" si="28"/>
        <v>19269831.439362943</v>
      </c>
      <c r="D68" s="4">
        <f t="shared" si="29"/>
        <v>61540949.322714485</v>
      </c>
      <c r="E68" s="8">
        <f t="shared" si="14"/>
        <v>0.23845619678019264</v>
      </c>
      <c r="F68" s="8">
        <f t="shared" si="15"/>
        <v>0.7615438032198073</v>
      </c>
      <c r="G68" s="9">
        <f t="shared" si="16"/>
        <v>0.05</v>
      </c>
      <c r="H68" s="10">
        <f t="shared" si="17"/>
        <v>0.95</v>
      </c>
      <c r="I68" s="5">
        <f t="shared" si="18"/>
        <v>963491.57196814718</v>
      </c>
      <c r="J68" s="7">
        <f t="shared" si="19"/>
        <v>18306339.867394794</v>
      </c>
      <c r="K68" s="8">
        <f t="shared" si="30"/>
        <v>-1.3682189150263993E-3</v>
      </c>
      <c r="L68" s="8">
        <f t="shared" si="31"/>
        <v>1.3682189150264756E-3</v>
      </c>
      <c r="M68" s="4">
        <f t="shared" si="32"/>
        <v>371949.48830846744</v>
      </c>
      <c r="N68" s="4">
        <f t="shared" si="33"/>
        <v>9793712.2261377014</v>
      </c>
      <c r="O68" s="149">
        <f t="shared" si="34"/>
        <v>456959.54179225641</v>
      </c>
      <c r="P68" s="149">
        <f t="shared" si="35"/>
        <v>5406369.1497542057</v>
      </c>
      <c r="Q68" s="152">
        <f t="shared" si="36"/>
        <v>1791583.0489846251</v>
      </c>
      <c r="R68" s="152">
        <f t="shared" si="37"/>
        <v>11755.020901030495</v>
      </c>
      <c r="S68" s="140">
        <f t="shared" si="20"/>
        <v>4040539.038103872</v>
      </c>
      <c r="T68" s="134">
        <f t="shared" si="21"/>
        <v>67444.410037770314</v>
      </c>
      <c r="U68" s="134">
        <f t="shared" si="22"/>
        <v>732253.59469579172</v>
      </c>
      <c r="V68" s="134">
        <f t="shared" si="23"/>
        <v>7384913.9187257383</v>
      </c>
      <c r="W68" s="5">
        <f t="shared" si="24"/>
        <v>20069529.444096506</v>
      </c>
      <c r="X68" s="140">
        <f t="shared" si="38"/>
        <v>270500.71048284834</v>
      </c>
      <c r="Y68" s="141">
        <f t="shared" si="25"/>
        <v>84684352.936950013</v>
      </c>
      <c r="Z68" s="12">
        <f t="shared" si="39"/>
        <v>1.5870703854994277</v>
      </c>
      <c r="AA68" s="5">
        <f t="shared" si="26"/>
        <v>51741407.709988557</v>
      </c>
    </row>
    <row r="69" spans="1:27" x14ac:dyDescent="0.3">
      <c r="A69">
        <v>49</v>
      </c>
      <c r="B69" s="4">
        <f t="shared" si="27"/>
        <v>84684352.936950013</v>
      </c>
      <c r="C69" s="4">
        <f t="shared" si="28"/>
        <v>15758489.695509782</v>
      </c>
      <c r="D69" s="4">
        <f t="shared" si="29"/>
        <v>68925863.241440222</v>
      </c>
      <c r="E69" s="8">
        <f t="shared" si="14"/>
        <v>0.18608502219108222</v>
      </c>
      <c r="F69" s="8">
        <f t="shared" si="15"/>
        <v>0.81391497780891764</v>
      </c>
      <c r="G69" s="9">
        <f t="shared" si="16"/>
        <v>0.05</v>
      </c>
      <c r="H69" s="10">
        <f t="shared" si="17"/>
        <v>0.95</v>
      </c>
      <c r="I69" s="5">
        <f t="shared" si="18"/>
        <v>787924.4847754892</v>
      </c>
      <c r="J69" s="7">
        <f t="shared" si="19"/>
        <v>14970565.210734293</v>
      </c>
      <c r="K69" s="8">
        <f t="shared" si="30"/>
        <v>-1.3682189150264132E-3</v>
      </c>
      <c r="L69" s="8">
        <f t="shared" si="31"/>
        <v>1.3682189150263646E-3</v>
      </c>
      <c r="M69" s="4">
        <f t="shared" si="32"/>
        <v>150060.4394593316</v>
      </c>
      <c r="N69" s="4">
        <f t="shared" si="33"/>
        <v>5792766.5253062211</v>
      </c>
      <c r="O69" s="149">
        <f t="shared" si="34"/>
        <v>481307.87690806692</v>
      </c>
      <c r="P69" s="149">
        <f t="shared" si="35"/>
        <v>5754114.5293523185</v>
      </c>
      <c r="Q69" s="152">
        <f t="shared" si="36"/>
        <v>481307.87690806692</v>
      </c>
      <c r="R69" s="152">
        <f t="shared" si="37"/>
        <v>5754114.5293523185</v>
      </c>
      <c r="S69" s="140">
        <f t="shared" si="20"/>
        <v>4234217.6468475005</v>
      </c>
      <c r="T69" s="134">
        <f t="shared" si="21"/>
        <v>55154.713934284249</v>
      </c>
      <c r="U69" s="134">
        <f t="shared" si="22"/>
        <v>598822.60842937173</v>
      </c>
      <c r="V69" s="134">
        <f t="shared" si="23"/>
        <v>8271103.5889728265</v>
      </c>
      <c r="W69" s="5">
        <f t="shared" si="24"/>
        <v>16412467.017873438</v>
      </c>
      <c r="X69" s="140">
        <f t="shared" si="38"/>
        <v>7276860.2796821827</v>
      </c>
      <c r="Y69" s="141">
        <f t="shared" si="25"/>
        <v>82098355.921756804</v>
      </c>
      <c r="Z69" s="12">
        <f t="shared" si="39"/>
        <v>1.6388117932094164</v>
      </c>
      <c r="AA69" s="5">
        <f t="shared" si="26"/>
        <v>52776235.864188328</v>
      </c>
    </row>
    <row r="70" spans="1:27" x14ac:dyDescent="0.3">
      <c r="A70" s="38">
        <v>50</v>
      </c>
      <c r="B70" s="142">
        <f t="shared" si="27"/>
        <v>82098355.921756804</v>
      </c>
      <c r="C70" s="142">
        <f t="shared" si="28"/>
        <v>39372674.148504198</v>
      </c>
      <c r="D70" s="142">
        <f t="shared" si="29"/>
        <v>42725681.773252606</v>
      </c>
      <c r="E70" s="143">
        <f t="shared" si="14"/>
        <v>0.47957932538902504</v>
      </c>
      <c r="F70" s="143">
        <f t="shared" si="15"/>
        <v>0.52042067461097496</v>
      </c>
      <c r="G70" s="144">
        <f t="shared" si="16"/>
        <v>0.10425825637437004</v>
      </c>
      <c r="H70" s="145">
        <f t="shared" si="17"/>
        <v>0.89574174362562997</v>
      </c>
      <c r="I70" s="147">
        <f t="shared" si="18"/>
        <v>4104926.3555192822</v>
      </c>
      <c r="J70" s="146">
        <f t="shared" si="19"/>
        <v>35267747.792984918</v>
      </c>
      <c r="K70" s="143">
        <f t="shared" si="30"/>
        <v>-1.2444299113363214E-2</v>
      </c>
      <c r="L70" s="143">
        <f t="shared" si="31"/>
        <v>1.2444299113363089E-2</v>
      </c>
      <c r="M70" s="142">
        <f t="shared" si="32"/>
        <v>3676954.7835390419</v>
      </c>
      <c r="N70" s="142">
        <f t="shared" si="33"/>
        <v>31590801.568877317</v>
      </c>
      <c r="O70" s="151">
        <f t="shared" si="34"/>
        <v>287344.84488635015</v>
      </c>
      <c r="P70" s="151">
        <f t="shared" si="35"/>
        <v>1410709.9117193972</v>
      </c>
      <c r="Q70" s="153">
        <f t="shared" si="36"/>
        <v>272121.82924157882</v>
      </c>
      <c r="R70" s="153">
        <f t="shared" si="37"/>
        <v>0</v>
      </c>
      <c r="S70" s="153">
        <f t="shared" si="20"/>
        <v>4104917.7960878406</v>
      </c>
      <c r="T70" s="153">
        <f t="shared" si="21"/>
        <v>287344.84488634981</v>
      </c>
      <c r="U70" s="153">
        <f t="shared" si="22"/>
        <v>1410709.9117193967</v>
      </c>
      <c r="V70" s="153">
        <f t="shared" si="23"/>
        <v>5127081.8127903128</v>
      </c>
      <c r="W70" s="153">
        <f t="shared" si="24"/>
        <v>41070728.905109942</v>
      </c>
      <c r="X70" s="153">
        <f t="shared" si="38"/>
        <v>40818.274386236822</v>
      </c>
      <c r="Y70" s="153">
        <f t="shared" si="25"/>
        <v>84777756.420678779</v>
      </c>
      <c r="Z70" s="154">
        <f t="shared" si="39"/>
        <v>1.6915880290736047</v>
      </c>
      <c r="AA70" s="153">
        <f t="shared" si="26"/>
        <v>53831760.581472091</v>
      </c>
    </row>
    <row r="71" spans="1:27" x14ac:dyDescent="0.3">
      <c r="A71">
        <v>51</v>
      </c>
      <c r="B71" s="4">
        <f t="shared" si="27"/>
        <v>84777756.420678779</v>
      </c>
      <c r="C71" s="4">
        <f t="shared" si="28"/>
        <v>36924992.834635869</v>
      </c>
      <c r="D71" s="4">
        <f t="shared" si="29"/>
        <v>47852763.586042918</v>
      </c>
      <c r="E71" s="8">
        <f t="shared" si="14"/>
        <v>0.4355504839194968</v>
      </c>
      <c r="F71" s="8">
        <f t="shared" si="15"/>
        <v>0.56444951608050331</v>
      </c>
      <c r="G71" s="9">
        <f t="shared" si="16"/>
        <v>9.4322017133331104E-2</v>
      </c>
      <c r="H71" s="10">
        <f t="shared" si="17"/>
        <v>0.9056779828666689</v>
      </c>
      <c r="I71" s="5">
        <f t="shared" si="18"/>
        <v>3482839.8067966527</v>
      </c>
      <c r="J71" s="7">
        <f t="shared" si="19"/>
        <v>33442153.027839217</v>
      </c>
      <c r="K71" s="8">
        <f t="shared" si="30"/>
        <v>-2.7988525997683145E-2</v>
      </c>
      <c r="L71" s="8">
        <f t="shared" si="31"/>
        <v>2.7988525997682867E-2</v>
      </c>
      <c r="M71" s="4">
        <f t="shared" si="32"/>
        <v>2186057.7466600407</v>
      </c>
      <c r="N71" s="4">
        <f t="shared" si="33"/>
        <v>28785210.319441669</v>
      </c>
      <c r="O71" s="149">
        <f t="shared" si="34"/>
        <v>1140760.3969305458</v>
      </c>
      <c r="P71" s="149">
        <f t="shared" si="35"/>
        <v>2155561.4581590137</v>
      </c>
      <c r="Q71" s="152">
        <f t="shared" si="36"/>
        <v>1329493.0804659186</v>
      </c>
      <c r="R71" s="152">
        <f t="shared" si="37"/>
        <v>0</v>
      </c>
      <c r="S71" s="140">
        <f t="shared" si="20"/>
        <v>4238887.8210339388</v>
      </c>
      <c r="T71" s="134">
        <f t="shared" si="21"/>
        <v>243798.78647576572</v>
      </c>
      <c r="U71" s="134">
        <f t="shared" si="22"/>
        <v>1337686.1211135688</v>
      </c>
      <c r="V71" s="134">
        <f t="shared" si="23"/>
        <v>5742331.6303251497</v>
      </c>
      <c r="W71" s="5">
        <f t="shared" si="24"/>
        <v>38506477.7422252</v>
      </c>
      <c r="X71" s="140">
        <f t="shared" si="38"/>
        <v>199423.96206988778</v>
      </c>
      <c r="Y71" s="141">
        <f t="shared" si="25"/>
        <v>87663261.175489441</v>
      </c>
      <c r="Z71" s="12">
        <f t="shared" si="39"/>
        <v>1.7454197896550765</v>
      </c>
      <c r="AA71" s="5">
        <f t="shared" si="26"/>
        <v>54908395.793101527</v>
      </c>
    </row>
    <row r="72" spans="1:27" x14ac:dyDescent="0.3">
      <c r="A72">
        <v>52</v>
      </c>
      <c r="B72" s="4">
        <f t="shared" si="27"/>
        <v>87663261.175489441</v>
      </c>
      <c r="C72" s="4">
        <f t="shared" si="28"/>
        <v>34068165.959121384</v>
      </c>
      <c r="D72" s="4">
        <f t="shared" si="29"/>
        <v>53595095.216368064</v>
      </c>
      <c r="E72" s="8">
        <f t="shared" si="14"/>
        <v>0.38862535459320569</v>
      </c>
      <c r="F72" s="8">
        <f t="shared" si="15"/>
        <v>0.61137464540679443</v>
      </c>
      <c r="G72" s="9">
        <f t="shared" si="16"/>
        <v>6.8132506301975579E-2</v>
      </c>
      <c r="H72" s="10">
        <f t="shared" si="17"/>
        <v>0.93186749369802446</v>
      </c>
      <c r="I72" s="5">
        <f t="shared" si="18"/>
        <v>2321149.5319065875</v>
      </c>
      <c r="J72" s="7">
        <f t="shared" si="19"/>
        <v>31747016.427214798</v>
      </c>
      <c r="K72" s="8">
        <f t="shared" si="30"/>
        <v>-1.9960369695422128E-2</v>
      </c>
      <c r="L72" s="8">
        <f t="shared" si="31"/>
        <v>1.9960369695422142E-2</v>
      </c>
      <c r="M72" s="4">
        <f t="shared" si="32"/>
        <v>1246985.7005901414</v>
      </c>
      <c r="N72" s="4">
        <f t="shared" si="33"/>
        <v>25380696.332780793</v>
      </c>
      <c r="O72" s="149">
        <f t="shared" si="34"/>
        <v>938008.41382536921</v>
      </c>
      <c r="P72" s="149">
        <f t="shared" si="35"/>
        <v>3551673.577472663</v>
      </c>
      <c r="Q72" s="152">
        <f t="shared" si="36"/>
        <v>1674140.1984564841</v>
      </c>
      <c r="R72" s="152">
        <f t="shared" si="37"/>
        <v>0</v>
      </c>
      <c r="S72" s="140">
        <f t="shared" si="20"/>
        <v>4383163.0587744722</v>
      </c>
      <c r="T72" s="134">
        <f t="shared" si="21"/>
        <v>162480.46723346115</v>
      </c>
      <c r="U72" s="134">
        <f t="shared" si="22"/>
        <v>1269880.657088592</v>
      </c>
      <c r="V72" s="134">
        <f t="shared" si="23"/>
        <v>6431411.4259641673</v>
      </c>
      <c r="W72" s="5">
        <f t="shared" si="24"/>
        <v>35500527.08344344</v>
      </c>
      <c r="X72" s="140">
        <f t="shared" si="38"/>
        <v>251121.0297684726</v>
      </c>
      <c r="Y72" s="141">
        <f t="shared" si="25"/>
        <v>90892749.637232721</v>
      </c>
      <c r="Z72" s="12">
        <f t="shared" si="39"/>
        <v>1.8003281854481785</v>
      </c>
      <c r="AA72" s="5">
        <f t="shared" si="26"/>
        <v>56006563.708963573</v>
      </c>
    </row>
    <row r="73" spans="1:27" x14ac:dyDescent="0.3">
      <c r="A73">
        <v>53</v>
      </c>
      <c r="B73" s="4">
        <f t="shared" si="27"/>
        <v>90892749.637232721</v>
      </c>
      <c r="C73" s="4">
        <f t="shared" si="28"/>
        <v>30866242.994900495</v>
      </c>
      <c r="D73" s="4">
        <f t="shared" si="29"/>
        <v>60026506.642332233</v>
      </c>
      <c r="E73" s="8">
        <f t="shared" si="14"/>
        <v>0.33958971555038803</v>
      </c>
      <c r="F73" s="8">
        <f t="shared" si="15"/>
        <v>0.66041028444961203</v>
      </c>
      <c r="G73" s="9">
        <f t="shared" si="16"/>
        <v>0.05</v>
      </c>
      <c r="H73" s="10">
        <f t="shared" si="17"/>
        <v>0.95</v>
      </c>
      <c r="I73" s="5">
        <f t="shared" si="18"/>
        <v>1543312.1497450247</v>
      </c>
      <c r="J73" s="7">
        <f t="shared" si="19"/>
        <v>29322930.84515547</v>
      </c>
      <c r="K73" s="8">
        <f t="shared" si="30"/>
        <v>-1.3682189150264062E-3</v>
      </c>
      <c r="L73" s="8">
        <f t="shared" si="31"/>
        <v>1.3682189150263646E-3</v>
      </c>
      <c r="M73" s="4">
        <f t="shared" si="32"/>
        <v>985630.83805076173</v>
      </c>
      <c r="N73" s="4">
        <f t="shared" si="33"/>
        <v>21105522.502513662</v>
      </c>
      <c r="O73" s="149">
        <f t="shared" si="34"/>
        <v>438481.28808333306</v>
      </c>
      <c r="P73" s="149">
        <f t="shared" si="35"/>
        <v>5072919.9686794728</v>
      </c>
      <c r="Q73" s="152">
        <f t="shared" si="36"/>
        <v>1207337.2969585618</v>
      </c>
      <c r="R73" s="152">
        <f t="shared" si="37"/>
        <v>11030.005278828639</v>
      </c>
      <c r="S73" s="140">
        <f t="shared" si="20"/>
        <v>4544637.481861636</v>
      </c>
      <c r="T73" s="134">
        <f t="shared" si="21"/>
        <v>108031.85048215174</v>
      </c>
      <c r="U73" s="134">
        <f t="shared" si="22"/>
        <v>1172917.2338062187</v>
      </c>
      <c r="V73" s="134">
        <f t="shared" si="23"/>
        <v>7203180.7970798677</v>
      </c>
      <c r="W73" s="5">
        <f t="shared" si="24"/>
        <v>32147192.079188865</v>
      </c>
      <c r="X73" s="140">
        <f t="shared" si="38"/>
        <v>182755.09533560855</v>
      </c>
      <c r="Y73" s="141">
        <f t="shared" si="25"/>
        <v>94649486.941403717</v>
      </c>
      <c r="Z73" s="12">
        <f t="shared" si="39"/>
        <v>1.8563347491571416</v>
      </c>
      <c r="AA73" s="5">
        <f t="shared" si="26"/>
        <v>57126694.98314283</v>
      </c>
    </row>
    <row r="74" spans="1:27" x14ac:dyDescent="0.3">
      <c r="A74">
        <v>54</v>
      </c>
      <c r="B74" s="4">
        <f t="shared" si="27"/>
        <v>94649486.941403717</v>
      </c>
      <c r="C74" s="4">
        <f t="shared" si="28"/>
        <v>27419799.501991622</v>
      </c>
      <c r="D74" s="4">
        <f t="shared" si="29"/>
        <v>67229687.439412102</v>
      </c>
      <c r="E74" s="8">
        <f t="shared" si="14"/>
        <v>0.28969834267529487</v>
      </c>
      <c r="F74" s="8">
        <f t="shared" si="15"/>
        <v>0.71030165732470518</v>
      </c>
      <c r="G74" s="9">
        <f t="shared" si="16"/>
        <v>0.05</v>
      </c>
      <c r="H74" s="10">
        <f t="shared" si="17"/>
        <v>0.95</v>
      </c>
      <c r="I74" s="5">
        <f t="shared" si="18"/>
        <v>1370989.9750995813</v>
      </c>
      <c r="J74" s="7">
        <f t="shared" si="19"/>
        <v>26048809.52689204</v>
      </c>
      <c r="K74" s="8">
        <f t="shared" si="30"/>
        <v>-1.3682189150264132E-3</v>
      </c>
      <c r="L74" s="8">
        <f t="shared" si="31"/>
        <v>1.3682189150263646E-3</v>
      </c>
      <c r="M74" s="4">
        <f t="shared" si="32"/>
        <v>722035.94558016467</v>
      </c>
      <c r="N74" s="4">
        <f t="shared" si="33"/>
        <v>16647188.161121842</v>
      </c>
      <c r="O74" s="149">
        <f t="shared" si="34"/>
        <v>508299.610422878</v>
      </c>
      <c r="P74" s="149">
        <f t="shared" si="35"/>
        <v>5947723.117129202</v>
      </c>
      <c r="Q74" s="152">
        <f t="shared" si="36"/>
        <v>1640492.0911568557</v>
      </c>
      <c r="R74" s="152">
        <f t="shared" si="37"/>
        <v>12932.08207186115</v>
      </c>
      <c r="S74" s="140">
        <f t="shared" si="20"/>
        <v>4732474.3470701864</v>
      </c>
      <c r="T74" s="134">
        <f t="shared" si="21"/>
        <v>95969.298256970695</v>
      </c>
      <c r="U74" s="134">
        <f t="shared" si="22"/>
        <v>1041952.3810756817</v>
      </c>
      <c r="V74" s="134">
        <f t="shared" si="23"/>
        <v>8067562.4927294515</v>
      </c>
      <c r="W74" s="5">
        <f t="shared" si="24"/>
        <v>28557721.181324273</v>
      </c>
      <c r="X74" s="140">
        <f t="shared" si="38"/>
        <v>248013.62598430752</v>
      </c>
      <c r="Y74" s="141">
        <f t="shared" si="25"/>
        <v>98874483.140411317</v>
      </c>
      <c r="Z74" s="12">
        <f t="shared" si="39"/>
        <v>1.9134614441402849</v>
      </c>
      <c r="AA74" s="5">
        <f t="shared" si="26"/>
        <v>58269228.882805698</v>
      </c>
    </row>
    <row r="75" spans="1:27" x14ac:dyDescent="0.3">
      <c r="A75">
        <v>55</v>
      </c>
      <c r="B75" s="4">
        <f t="shared" si="27"/>
        <v>98874483.140411317</v>
      </c>
      <c r="C75" s="4">
        <f t="shared" si="28"/>
        <v>23577233.208269779</v>
      </c>
      <c r="D75" s="4">
        <f t="shared" si="29"/>
        <v>75297249.932141557</v>
      </c>
      <c r="E75" s="8">
        <f t="shared" si="14"/>
        <v>0.23845619678019281</v>
      </c>
      <c r="F75" s="8">
        <f t="shared" si="15"/>
        <v>0.76154380321980741</v>
      </c>
      <c r="G75" s="9">
        <f t="shared" si="16"/>
        <v>0.05</v>
      </c>
      <c r="H75" s="10">
        <f t="shared" si="17"/>
        <v>0.95</v>
      </c>
      <c r="I75" s="5">
        <f t="shared" si="18"/>
        <v>1178861.660413489</v>
      </c>
      <c r="J75" s="7">
        <f t="shared" si="19"/>
        <v>22398371.54785629</v>
      </c>
      <c r="K75" s="8">
        <f t="shared" si="30"/>
        <v>-1.3682189150264062E-3</v>
      </c>
      <c r="L75" s="8">
        <f t="shared" si="31"/>
        <v>1.3682189150263646E-3</v>
      </c>
      <c r="M75" s="4">
        <f t="shared" si="32"/>
        <v>455091.67296770122</v>
      </c>
      <c r="N75" s="4">
        <f t="shared" si="33"/>
        <v>11982909.028391846</v>
      </c>
      <c r="O75" s="149">
        <f t="shared" si="34"/>
        <v>559104.0958237038</v>
      </c>
      <c r="P75" s="149">
        <f t="shared" si="35"/>
        <v>6614859.4322091574</v>
      </c>
      <c r="Q75" s="152">
        <f t="shared" si="36"/>
        <v>2192057.12778618</v>
      </c>
      <c r="R75" s="152">
        <f t="shared" si="37"/>
        <v>14382.630695230364</v>
      </c>
      <c r="S75" s="140">
        <f t="shared" si="20"/>
        <v>4943724.1570205661</v>
      </c>
      <c r="T75" s="134">
        <f t="shared" si="21"/>
        <v>82520.316228944241</v>
      </c>
      <c r="U75" s="134">
        <f t="shared" si="22"/>
        <v>895934.86191425158</v>
      </c>
      <c r="V75" s="134">
        <f t="shared" si="23"/>
        <v>9035669.9918569867</v>
      </c>
      <c r="W75" s="5">
        <f t="shared" si="24"/>
        <v>24555688.386412974</v>
      </c>
      <c r="X75" s="140">
        <f t="shared" si="38"/>
        <v>330965.96377221151</v>
      </c>
      <c r="Y75" s="141">
        <f t="shared" si="25"/>
        <v>103613918.18961872</v>
      </c>
      <c r="Z75" s="12">
        <f t="shared" si="39"/>
        <v>1.9717306730230897</v>
      </c>
      <c r="AA75" s="5">
        <f t="shared" si="26"/>
        <v>59434613.460461795</v>
      </c>
    </row>
    <row r="76" spans="1:27" x14ac:dyDescent="0.3">
      <c r="A76">
        <v>56</v>
      </c>
      <c r="B76" s="4">
        <f t="shared" si="27"/>
        <v>103613918.18961872</v>
      </c>
      <c r="C76" s="4">
        <f t="shared" si="28"/>
        <v>19280998.265620198</v>
      </c>
      <c r="D76" s="4">
        <f t="shared" si="29"/>
        <v>84332919.92399855</v>
      </c>
      <c r="E76" s="8">
        <f t="shared" si="14"/>
        <v>0.18608502219108242</v>
      </c>
      <c r="F76" s="8">
        <f t="shared" si="15"/>
        <v>0.81391497780891786</v>
      </c>
      <c r="G76" s="9">
        <f t="shared" si="16"/>
        <v>0.05</v>
      </c>
      <c r="H76" s="10">
        <f t="shared" si="17"/>
        <v>0.95</v>
      </c>
      <c r="I76" s="5">
        <f t="shared" si="18"/>
        <v>964049.91328101</v>
      </c>
      <c r="J76" s="7">
        <f t="shared" si="19"/>
        <v>18316948.352339186</v>
      </c>
      <c r="K76" s="8">
        <f t="shared" si="30"/>
        <v>-1.3682189150264062E-3</v>
      </c>
      <c r="L76" s="8">
        <f t="shared" si="31"/>
        <v>1.3682189150263646E-3</v>
      </c>
      <c r="M76" s="4">
        <f t="shared" si="32"/>
        <v>183603.57679314597</v>
      </c>
      <c r="N76" s="4">
        <f t="shared" si="33"/>
        <v>7087628.5409125667</v>
      </c>
      <c r="O76" s="149">
        <f t="shared" si="34"/>
        <v>588895.03494348784</v>
      </c>
      <c r="P76" s="149">
        <f t="shared" si="35"/>
        <v>7040336.6315132976</v>
      </c>
      <c r="Q76" s="152">
        <f t="shared" si="36"/>
        <v>588895.03494348784</v>
      </c>
      <c r="R76" s="152">
        <f t="shared" si="37"/>
        <v>7040336.6315132976</v>
      </c>
      <c r="S76" s="140">
        <f t="shared" si="20"/>
        <v>5180695.9094809368</v>
      </c>
      <c r="T76" s="134">
        <f t="shared" si="21"/>
        <v>67483.493929670702</v>
      </c>
      <c r="U76" s="134">
        <f t="shared" si="22"/>
        <v>732677.93409356743</v>
      </c>
      <c r="V76" s="134">
        <f t="shared" si="23"/>
        <v>10119950.390879825</v>
      </c>
      <c r="W76" s="5">
        <f t="shared" si="24"/>
        <v>20081159.693643436</v>
      </c>
      <c r="X76" s="140">
        <f t="shared" si="38"/>
        <v>8903463.0312123802</v>
      </c>
      <c r="Y76" s="141">
        <f t="shared" si="25"/>
        <v>100449871.06782848</v>
      </c>
      <c r="Z76" s="12">
        <f t="shared" si="39"/>
        <v>2.0311652864835517</v>
      </c>
      <c r="AA76" s="5">
        <f t="shared" si="26"/>
        <v>60623305.729671031</v>
      </c>
    </row>
    <row r="77" spans="1:27" x14ac:dyDescent="0.3">
      <c r="A77">
        <v>57</v>
      </c>
      <c r="B77" s="4">
        <f t="shared" si="27"/>
        <v>100449871.06782848</v>
      </c>
      <c r="C77" s="4">
        <f t="shared" si="28"/>
        <v>48173681.402123727</v>
      </c>
      <c r="D77" s="4">
        <f t="shared" si="29"/>
        <v>52276189.66570475</v>
      </c>
      <c r="E77" s="8">
        <f t="shared" si="14"/>
        <v>0.47957932538902504</v>
      </c>
      <c r="F77" s="8">
        <f t="shared" si="15"/>
        <v>0.52042067461097496</v>
      </c>
      <c r="G77" s="9">
        <f t="shared" si="16"/>
        <v>0.10425825637437004</v>
      </c>
      <c r="H77" s="10">
        <f t="shared" si="17"/>
        <v>0.89574174362562997</v>
      </c>
      <c r="I77" s="5">
        <f t="shared" si="18"/>
        <v>5022504.0261198375</v>
      </c>
      <c r="J77" s="7">
        <f t="shared" si="19"/>
        <v>43151177.376003891</v>
      </c>
      <c r="K77" s="8">
        <f t="shared" si="30"/>
        <v>-1.24442991133632E-2</v>
      </c>
      <c r="L77" s="8">
        <f t="shared" si="31"/>
        <v>1.2444299113363089E-2</v>
      </c>
      <c r="M77" s="4">
        <f t="shared" si="32"/>
        <v>4498867.6055917339</v>
      </c>
      <c r="N77" s="4">
        <f t="shared" si="33"/>
        <v>38652320.243140571</v>
      </c>
      <c r="O77" s="149">
        <f t="shared" si="34"/>
        <v>351575.28182838828</v>
      </c>
      <c r="P77" s="149">
        <f t="shared" si="35"/>
        <v>1726047.0950401574</v>
      </c>
      <c r="Q77" s="152">
        <f t="shared" si="36"/>
        <v>332949.45258232934</v>
      </c>
      <c r="R77" s="152">
        <f t="shared" si="37"/>
        <v>0</v>
      </c>
      <c r="S77" s="140">
        <f t="shared" si="20"/>
        <v>5022493.553391424</v>
      </c>
      <c r="T77" s="134">
        <f t="shared" si="21"/>
        <v>351575.28182838869</v>
      </c>
      <c r="U77" s="134">
        <f t="shared" si="22"/>
        <v>1726047.0950401556</v>
      </c>
      <c r="V77" s="134">
        <f t="shared" si="23"/>
        <v>6273142.7598845698</v>
      </c>
      <c r="W77" s="5">
        <f t="shared" si="24"/>
        <v>50251303.778992273</v>
      </c>
      <c r="X77" s="140">
        <f t="shared" si="38"/>
        <v>49942.417887349402</v>
      </c>
      <c r="Y77" s="141">
        <f t="shared" si="25"/>
        <v>103728200.23330282</v>
      </c>
      <c r="Z77" s="12">
        <f t="shared" si="39"/>
        <v>2.0917885922132227</v>
      </c>
      <c r="AA77" s="5">
        <f t="shared" si="26"/>
        <v>61835771.844264455</v>
      </c>
    </row>
    <row r="78" spans="1:27" x14ac:dyDescent="0.3">
      <c r="A78">
        <v>58</v>
      </c>
      <c r="B78" s="4">
        <f t="shared" si="27"/>
        <v>103728200.23330282</v>
      </c>
      <c r="C78" s="4">
        <f t="shared" si="28"/>
        <v>45178867.807713501</v>
      </c>
      <c r="D78" s="4">
        <f t="shared" si="29"/>
        <v>58549332.425589323</v>
      </c>
      <c r="E78" s="8">
        <f t="shared" si="14"/>
        <v>0.4355504839194968</v>
      </c>
      <c r="F78" s="8">
        <f t="shared" si="15"/>
        <v>0.56444951608050331</v>
      </c>
      <c r="G78" s="9">
        <f t="shared" si="16"/>
        <v>9.4322017133331104E-2</v>
      </c>
      <c r="H78" s="10">
        <f t="shared" si="17"/>
        <v>0.9056779828666689</v>
      </c>
      <c r="I78" s="5">
        <f t="shared" si="18"/>
        <v>4261361.943423654</v>
      </c>
      <c r="J78" s="7">
        <f t="shared" si="19"/>
        <v>40917505.86428985</v>
      </c>
      <c r="K78" s="8">
        <f t="shared" si="30"/>
        <v>-2.7988525997683103E-2</v>
      </c>
      <c r="L78" s="8">
        <f t="shared" si="31"/>
        <v>2.7988525997682978E-2</v>
      </c>
      <c r="M78" s="4">
        <f t="shared" si="32"/>
        <v>2674709.0892795306</v>
      </c>
      <c r="N78" s="4">
        <f t="shared" si="33"/>
        <v>35219592.80163826</v>
      </c>
      <c r="O78" s="149">
        <f t="shared" si="34"/>
        <v>1395755.5362030198</v>
      </c>
      <c r="P78" s="149">
        <f t="shared" si="35"/>
        <v>2637395.9395387983</v>
      </c>
      <c r="Q78" s="152">
        <f t="shared" si="36"/>
        <v>1626675.7965975327</v>
      </c>
      <c r="R78" s="152">
        <f t="shared" si="37"/>
        <v>0</v>
      </c>
      <c r="S78" s="140">
        <f t="shared" si="20"/>
        <v>5186410.0116651412</v>
      </c>
      <c r="T78" s="134">
        <f t="shared" si="21"/>
        <v>298295.33603965578</v>
      </c>
      <c r="U78" s="134">
        <f t="shared" si="22"/>
        <v>1636700.234571594</v>
      </c>
      <c r="V78" s="134">
        <f t="shared" si="23"/>
        <v>7025919.8910707189</v>
      </c>
      <c r="W78" s="5">
        <f t="shared" si="24"/>
        <v>47113863.378324747</v>
      </c>
      <c r="X78" s="140">
        <f t="shared" si="38"/>
        <v>244001.3694896299</v>
      </c>
      <c r="Y78" s="141">
        <f t="shared" si="25"/>
        <v>107258704.31383003</v>
      </c>
      <c r="Z78" s="12">
        <f t="shared" si="39"/>
        <v>2.1536243640574875</v>
      </c>
      <c r="AA78" s="5">
        <f t="shared" si="26"/>
        <v>63072487.281149752</v>
      </c>
    </row>
    <row r="79" spans="1:27" x14ac:dyDescent="0.3">
      <c r="A79">
        <v>59</v>
      </c>
      <c r="B79" s="4">
        <f t="shared" si="27"/>
        <v>107258704.31383003</v>
      </c>
      <c r="C79" s="4">
        <f t="shared" si="28"/>
        <v>41683451.997169979</v>
      </c>
      <c r="D79" s="4">
        <f t="shared" si="29"/>
        <v>65575252.316660039</v>
      </c>
      <c r="E79" s="8">
        <f t="shared" si="14"/>
        <v>0.38862535459320552</v>
      </c>
      <c r="F79" s="8">
        <f t="shared" si="15"/>
        <v>0.61137464540679431</v>
      </c>
      <c r="G79" s="9">
        <f t="shared" si="16"/>
        <v>6.8132506301975634E-2</v>
      </c>
      <c r="H79" s="10">
        <f t="shared" si="17"/>
        <v>0.93186749369802435</v>
      </c>
      <c r="I79" s="5">
        <f t="shared" si="18"/>
        <v>2839998.0558852823</v>
      </c>
      <c r="J79" s="7">
        <f t="shared" si="19"/>
        <v>38843453.941284694</v>
      </c>
      <c r="K79" s="8">
        <f t="shared" si="30"/>
        <v>-1.996036969542217E-2</v>
      </c>
      <c r="L79" s="8">
        <f t="shared" si="31"/>
        <v>1.9960369695422253E-2</v>
      </c>
      <c r="M79" s="4">
        <f t="shared" si="32"/>
        <v>1525725.4721042539</v>
      </c>
      <c r="N79" s="4">
        <f t="shared" si="33"/>
        <v>31054064.915371846</v>
      </c>
      <c r="O79" s="149">
        <f t="shared" si="34"/>
        <v>1147682.2303128096</v>
      </c>
      <c r="P79" s="149">
        <f t="shared" si="35"/>
        <v>4345582.1852529207</v>
      </c>
      <c r="Q79" s="152">
        <f t="shared" si="36"/>
        <v>2048362.17724863</v>
      </c>
      <c r="R79" s="152">
        <f t="shared" si="37"/>
        <v>0</v>
      </c>
      <c r="S79" s="140">
        <f t="shared" si="20"/>
        <v>5362935.2156915022</v>
      </c>
      <c r="T79" s="134">
        <f t="shared" si="21"/>
        <v>198799.86391196979</v>
      </c>
      <c r="U79" s="134">
        <f t="shared" si="22"/>
        <v>1553738.1576513879</v>
      </c>
      <c r="V79" s="134">
        <f t="shared" si="23"/>
        <v>7869030.2779992046</v>
      </c>
      <c r="W79" s="5">
        <f t="shared" si="24"/>
        <v>43435990.018733338</v>
      </c>
      <c r="X79" s="140">
        <f t="shared" si="38"/>
        <v>307254.32658729446</v>
      </c>
      <c r="Y79" s="141">
        <f t="shared" si="25"/>
        <v>111210083.07111381</v>
      </c>
      <c r="Z79" s="12">
        <f t="shared" si="39"/>
        <v>2.2166968513386367</v>
      </c>
      <c r="AA79" s="5">
        <f t="shared" si="26"/>
        <v>64333937.026772738</v>
      </c>
    </row>
    <row r="80" spans="1:27" x14ac:dyDescent="0.3">
      <c r="A80" s="38">
        <v>60</v>
      </c>
      <c r="B80" s="142">
        <f t="shared" si="27"/>
        <v>111210083.07111381</v>
      </c>
      <c r="C80" s="142">
        <f t="shared" si="28"/>
        <v>37765800.476454534</v>
      </c>
      <c r="D80" s="142">
        <f t="shared" si="29"/>
        <v>73444282.594659239</v>
      </c>
      <c r="E80" s="143">
        <f t="shared" si="14"/>
        <v>0.33958971555038775</v>
      </c>
      <c r="F80" s="143">
        <f t="shared" si="15"/>
        <v>0.66041028444961192</v>
      </c>
      <c r="G80" s="144">
        <f t="shared" si="16"/>
        <v>0.05</v>
      </c>
      <c r="H80" s="145">
        <f t="shared" si="17"/>
        <v>0.95</v>
      </c>
      <c r="I80" s="147">
        <f t="shared" si="18"/>
        <v>1888290.0238227267</v>
      </c>
      <c r="J80" s="146">
        <f t="shared" si="19"/>
        <v>35877510.452631809</v>
      </c>
      <c r="K80" s="143">
        <f t="shared" si="30"/>
        <v>-1.3682189150263924E-3</v>
      </c>
      <c r="L80" s="143">
        <f t="shared" si="31"/>
        <v>1.3682189150263646E-3</v>
      </c>
      <c r="M80" s="142">
        <f t="shared" si="32"/>
        <v>1205949.7354250571</v>
      </c>
      <c r="N80" s="142">
        <f t="shared" si="33"/>
        <v>25823257.852046937</v>
      </c>
      <c r="O80" s="151">
        <f t="shared" si="34"/>
        <v>536495.38238747581</v>
      </c>
      <c r="P80" s="155">
        <f t="shared" si="35"/>
        <v>6206874.0728122396</v>
      </c>
      <c r="Q80" s="153">
        <f t="shared" si="36"/>
        <v>1477214.4271737882</v>
      </c>
      <c r="R80" s="153">
        <f t="shared" si="37"/>
        <v>13495.551715940997</v>
      </c>
      <c r="S80" s="153">
        <f t="shared" si="20"/>
        <v>5560504.1535556912</v>
      </c>
      <c r="T80" s="153">
        <f t="shared" si="21"/>
        <v>132180.30166759089</v>
      </c>
      <c r="U80" s="153">
        <f t="shared" si="22"/>
        <v>1435100.4181052723</v>
      </c>
      <c r="V80" s="153">
        <f t="shared" si="23"/>
        <v>8813313.911359109</v>
      </c>
      <c r="W80" s="153">
        <f t="shared" si="24"/>
        <v>39333081.196227401</v>
      </c>
      <c r="X80" s="153">
        <f t="shared" si="38"/>
        <v>223606.49683345936</v>
      </c>
      <c r="Y80" s="153">
        <f t="shared" si="25"/>
        <v>115806567.05185662</v>
      </c>
      <c r="Z80" s="154">
        <f t="shared" si="39"/>
        <v>2.2810307883654102</v>
      </c>
      <c r="AA80" s="153">
        <f t="shared" si="26"/>
        <v>65620615.767308205</v>
      </c>
    </row>
    <row r="81" spans="1:27" x14ac:dyDescent="0.3">
      <c r="A81">
        <v>61</v>
      </c>
      <c r="B81" s="4">
        <f t="shared" si="27"/>
        <v>115806567.05185662</v>
      </c>
      <c r="C81" s="4">
        <f t="shared" si="28"/>
        <v>33548970.545838252</v>
      </c>
      <c r="D81" s="4">
        <f t="shared" si="29"/>
        <v>82257596.506018341</v>
      </c>
      <c r="E81" s="8">
        <f t="shared" si="14"/>
        <v>0.28969834267529471</v>
      </c>
      <c r="F81" s="8">
        <f t="shared" si="15"/>
        <v>0.71030165732470507</v>
      </c>
      <c r="G81" s="9">
        <f t="shared" si="16"/>
        <v>0.05</v>
      </c>
      <c r="H81" s="10">
        <f t="shared" si="17"/>
        <v>0.95</v>
      </c>
      <c r="I81" s="5">
        <f t="shared" si="18"/>
        <v>1677448.5272919126</v>
      </c>
      <c r="J81" s="7">
        <f t="shared" si="19"/>
        <v>31871522.018546339</v>
      </c>
      <c r="K81" s="8">
        <f t="shared" si="30"/>
        <v>-1.3682189150263924E-3</v>
      </c>
      <c r="L81" s="8">
        <f t="shared" si="31"/>
        <v>1.3682189150265867E-3</v>
      </c>
      <c r="M81" s="4">
        <f t="shared" si="32"/>
        <v>883433.25302382291</v>
      </c>
      <c r="N81" s="4">
        <f t="shared" si="33"/>
        <v>20368348.253164232</v>
      </c>
      <c r="O81" s="149">
        <f t="shared" si="34"/>
        <v>621920.25354888197</v>
      </c>
      <c r="P81" s="149">
        <f t="shared" si="35"/>
        <v>7277222.7111607706</v>
      </c>
      <c r="Q81" s="152">
        <f t="shared" si="36"/>
        <v>2007192.6799794524</v>
      </c>
      <c r="R81" s="152">
        <f t="shared" si="37"/>
        <v>15822.801348116123</v>
      </c>
      <c r="S81" s="140">
        <f t="shared" si="20"/>
        <v>5790328.3525928315</v>
      </c>
      <c r="T81" s="134">
        <f t="shared" si="21"/>
        <v>117421.39691043389</v>
      </c>
      <c r="U81" s="134">
        <f t="shared" si="22"/>
        <v>1274860.8807418535</v>
      </c>
      <c r="V81" s="134">
        <f t="shared" si="23"/>
        <v>9870911.5807221998</v>
      </c>
      <c r="W81" s="5">
        <f t="shared" si="24"/>
        <v>34941252.823490545</v>
      </c>
      <c r="X81" s="140">
        <f t="shared" si="38"/>
        <v>303452.32219913526</v>
      </c>
      <c r="Y81" s="141">
        <f t="shared" si="25"/>
        <v>120975980.23543914</v>
      </c>
      <c r="Z81" s="12">
        <f t="shared" si="39"/>
        <v>2.346651404132718</v>
      </c>
      <c r="AA81" s="5">
        <f t="shared" si="26"/>
        <v>66933028.082654357</v>
      </c>
    </row>
    <row r="82" spans="1:27" x14ac:dyDescent="0.3">
      <c r="A82">
        <v>62</v>
      </c>
      <c r="B82" s="4">
        <f t="shared" si="27"/>
        <v>120975980.23543914</v>
      </c>
      <c r="C82" s="4">
        <f t="shared" si="28"/>
        <v>28847472.14869858</v>
      </c>
      <c r="D82" s="4">
        <f t="shared" si="29"/>
        <v>92128508.086740538</v>
      </c>
      <c r="E82" s="8">
        <f t="shared" si="14"/>
        <v>0.23845619678019273</v>
      </c>
      <c r="F82" s="8">
        <f t="shared" si="15"/>
        <v>0.76154380321980708</v>
      </c>
      <c r="G82" s="9">
        <f t="shared" si="16"/>
        <v>0.05</v>
      </c>
      <c r="H82" s="10">
        <f t="shared" si="17"/>
        <v>0.95</v>
      </c>
      <c r="I82" s="5">
        <f t="shared" si="18"/>
        <v>1442373.6074349291</v>
      </c>
      <c r="J82" s="7">
        <f t="shared" si="19"/>
        <v>27405098.541263651</v>
      </c>
      <c r="K82" s="8">
        <f t="shared" si="30"/>
        <v>-1.3682189150263993E-3</v>
      </c>
      <c r="L82" s="8">
        <f t="shared" si="31"/>
        <v>1.3682189150263646E-3</v>
      </c>
      <c r="M82" s="4">
        <f t="shared" si="32"/>
        <v>556818.70069621503</v>
      </c>
      <c r="N82" s="4">
        <f t="shared" si="33"/>
        <v>14661458.849025417</v>
      </c>
      <c r="O82" s="149">
        <f t="shared" si="34"/>
        <v>684081.10867056111</v>
      </c>
      <c r="P82" s="149">
        <f t="shared" si="35"/>
        <v>8093484.5727054216</v>
      </c>
      <c r="Q82" s="152">
        <f t="shared" si="36"/>
        <v>2682049.5171582713</v>
      </c>
      <c r="R82" s="152">
        <f t="shared" si="37"/>
        <v>17597.592335819376</v>
      </c>
      <c r="S82" s="140">
        <f t="shared" si="20"/>
        <v>6048799.0117719574</v>
      </c>
      <c r="T82" s="134">
        <f t="shared" si="21"/>
        <v>100966.15252044504</v>
      </c>
      <c r="U82" s="134">
        <f t="shared" si="22"/>
        <v>1096203.9416505462</v>
      </c>
      <c r="V82" s="134">
        <f t="shared" si="23"/>
        <v>11055420.970408864</v>
      </c>
      <c r="W82" s="5">
        <f t="shared" si="24"/>
        <v>30044642.242869571</v>
      </c>
      <c r="X82" s="140">
        <f t="shared" si="38"/>
        <v>404947.06642411358</v>
      </c>
      <c r="Y82" s="141">
        <f t="shared" si="25"/>
        <v>126774825.22182292</v>
      </c>
      <c r="Z82" s="12">
        <f t="shared" si="39"/>
        <v>2.4135844322153726</v>
      </c>
      <c r="AA82" s="5">
        <f t="shared" si="26"/>
        <v>68271688.644307449</v>
      </c>
    </row>
    <row r="83" spans="1:27" x14ac:dyDescent="0.3">
      <c r="A83">
        <v>63</v>
      </c>
      <c r="B83" s="4">
        <f t="shared" si="27"/>
        <v>126774825.22182292</v>
      </c>
      <c r="C83" s="4">
        <f t="shared" si="28"/>
        <v>23590896.1646735</v>
      </c>
      <c r="D83" s="4">
        <f t="shared" si="29"/>
        <v>103183929.05714941</v>
      </c>
      <c r="E83" s="8">
        <f t="shared" si="14"/>
        <v>0.18608502219108231</v>
      </c>
      <c r="F83" s="8">
        <f t="shared" si="15"/>
        <v>0.81391497780891764</v>
      </c>
      <c r="G83" s="9">
        <f t="shared" si="16"/>
        <v>0.05</v>
      </c>
      <c r="H83" s="10">
        <f t="shared" si="17"/>
        <v>0.95</v>
      </c>
      <c r="I83" s="5">
        <f t="shared" si="18"/>
        <v>1179544.8082336751</v>
      </c>
      <c r="J83" s="7">
        <f t="shared" si="19"/>
        <v>22411351.356439825</v>
      </c>
      <c r="K83" s="8">
        <f t="shared" si="30"/>
        <v>-1.3682189150264062E-3</v>
      </c>
      <c r="L83" s="8">
        <f t="shared" si="31"/>
        <v>1.3682189150263646E-3</v>
      </c>
      <c r="M83" s="4">
        <f t="shared" si="32"/>
        <v>224644.64007099782</v>
      </c>
      <c r="N83" s="4">
        <f t="shared" si="33"/>
        <v>8671932.1613437571</v>
      </c>
      <c r="O83" s="149">
        <f t="shared" si="34"/>
        <v>720531.24168447708</v>
      </c>
      <c r="P83" s="149">
        <f t="shared" si="35"/>
        <v>8614069.0513170734</v>
      </c>
      <c r="Q83" s="152">
        <f t="shared" si="36"/>
        <v>720531.24168447708</v>
      </c>
      <c r="R83" s="152">
        <f t="shared" si="37"/>
        <v>8614069.0513170734</v>
      </c>
      <c r="S83" s="140">
        <f t="shared" si="20"/>
        <v>6338741.2610911466</v>
      </c>
      <c r="T83" s="134">
        <f t="shared" si="21"/>
        <v>82568.136576357268</v>
      </c>
      <c r="U83" s="134">
        <f t="shared" si="22"/>
        <v>896454.054257593</v>
      </c>
      <c r="V83" s="134">
        <f t="shared" si="23"/>
        <v>12382071.486857928</v>
      </c>
      <c r="W83" s="5">
        <f t="shared" si="24"/>
        <v>24569918.355507452</v>
      </c>
      <c r="X83" s="140">
        <f t="shared" si="38"/>
        <v>10893661.675695622</v>
      </c>
      <c r="Y83" s="141">
        <f t="shared" si="25"/>
        <v>122903515.96272802</v>
      </c>
      <c r="Z83" s="12">
        <f t="shared" si="39"/>
        <v>2.4818561208596792</v>
      </c>
      <c r="AA83" s="5">
        <f t="shared" si="26"/>
        <v>69637122.417193592</v>
      </c>
    </row>
    <row r="84" spans="1:27" x14ac:dyDescent="0.3">
      <c r="A84">
        <v>64</v>
      </c>
      <c r="B84" s="4">
        <f t="shared" si="27"/>
        <v>122903515.96272802</v>
      </c>
      <c r="C84" s="4">
        <f t="shared" si="28"/>
        <v>58941985.273344375</v>
      </c>
      <c r="D84" s="4">
        <f t="shared" si="29"/>
        <v>63961530.689383648</v>
      </c>
      <c r="E84" s="8">
        <f t="shared" si="14"/>
        <v>0.47957932538902504</v>
      </c>
      <c r="F84" s="8">
        <f t="shared" si="15"/>
        <v>0.52042067461097496</v>
      </c>
      <c r="G84" s="9">
        <f t="shared" si="16"/>
        <v>0.10425825637437004</v>
      </c>
      <c r="H84" s="10">
        <f t="shared" si="17"/>
        <v>0.89574174362562997</v>
      </c>
      <c r="I84" s="5">
        <f t="shared" si="18"/>
        <v>6145188.6118426817</v>
      </c>
      <c r="J84" s="7">
        <f t="shared" si="19"/>
        <v>52796796.661501698</v>
      </c>
      <c r="K84" s="8">
        <f t="shared" si="30"/>
        <v>-1.244429911336313E-2</v>
      </c>
      <c r="L84" s="8">
        <f t="shared" si="31"/>
        <v>1.2444299113363089E-2</v>
      </c>
      <c r="M84" s="4">
        <f t="shared" si="32"/>
        <v>5504503.2980150022</v>
      </c>
      <c r="N84" s="4">
        <f t="shared" si="33"/>
        <v>47292306.177192971</v>
      </c>
      <c r="O84" s="149">
        <f t="shared" si="34"/>
        <v>430163.20282898797</v>
      </c>
      <c r="P84" s="149">
        <f t="shared" si="35"/>
        <v>2111871.8664600737</v>
      </c>
      <c r="Q84" s="152">
        <f t="shared" si="36"/>
        <v>407373.92617062078</v>
      </c>
      <c r="R84" s="152">
        <f t="shared" si="37"/>
        <v>0</v>
      </c>
      <c r="S84" s="140">
        <f t="shared" si="20"/>
        <v>6145175.7981364019</v>
      </c>
      <c r="T84" s="134">
        <f t="shared" si="21"/>
        <v>430163.20282898773</v>
      </c>
      <c r="U84" s="134">
        <f t="shared" si="22"/>
        <v>2111871.8664600682</v>
      </c>
      <c r="V84" s="134">
        <f t="shared" si="23"/>
        <v>7675383.6827260377</v>
      </c>
      <c r="W84" s="5">
        <f t="shared" si="24"/>
        <v>61484020.342633434</v>
      </c>
      <c r="X84" s="140">
        <f t="shared" si="38"/>
        <v>61106.088925593111</v>
      </c>
      <c r="Y84" s="141">
        <f t="shared" si="25"/>
        <v>126914652.82768112</v>
      </c>
      <c r="Z84" s="12">
        <f t="shared" si="39"/>
        <v>2.5514932432768735</v>
      </c>
      <c r="AA84" s="5">
        <f t="shared" si="26"/>
        <v>71029864.865537465</v>
      </c>
    </row>
    <row r="85" spans="1:27" x14ac:dyDescent="0.3">
      <c r="A85">
        <v>65</v>
      </c>
      <c r="B85" s="4">
        <f t="shared" ref="B85:B90" si="40">IF($A85=1,$B$16,Y84)</f>
        <v>126914652.82768112</v>
      </c>
      <c r="C85" s="4">
        <f t="shared" ref="C85:C90" si="41">IF(OR($A85=1, MOD($A85,7)=1),$B$4*$B85, I84+T84+J84+U84-(S84+X84))</f>
        <v>55277738.455571443</v>
      </c>
      <c r="D85" s="4">
        <f t="shared" ref="D85:D90" si="42">IF(OR($A85=1, MOD($A85,7)=1),$B$3*$B85, D84+V84)</f>
        <v>71636914.372109681</v>
      </c>
      <c r="E85" s="8">
        <f t="shared" si="14"/>
        <v>0.43555048391949674</v>
      </c>
      <c r="F85" s="8">
        <f t="shared" si="15"/>
        <v>0.5644495160805032</v>
      </c>
      <c r="G85" s="9">
        <f t="shared" si="16"/>
        <v>9.4322017133331174E-2</v>
      </c>
      <c r="H85" s="10">
        <f t="shared" si="17"/>
        <v>0.90567798286666878</v>
      </c>
      <c r="I85" s="5">
        <f t="shared" si="18"/>
        <v>5213907.7936982093</v>
      </c>
      <c r="J85" s="7">
        <f t="shared" si="19"/>
        <v>50063830.661873229</v>
      </c>
      <c r="K85" s="8">
        <f t="shared" ref="K85:K90" si="43">- ((I85+T85)/$W85 - MAX(0.05, $B$5 * EXP(-LN(2) * MAX(0, (($D85+$V85)/($B85+$T85+$U85+$V85-$S85)) - $B$15) / 0.1)))</f>
        <v>-2.7988525997683159E-2</v>
      </c>
      <c r="L85" s="8">
        <f t="shared" ref="L85:L90" si="44">- ((J85+U85)/$W85 - (1 - MAX(0.05, $B$5 * EXP(-LN(2) * MAX(0, (($D85+$V85)/($B85+$T85+$U85+$V85-$S85)) - $B$15) / 0.1))))</f>
        <v>2.7988525997683311E-2</v>
      </c>
      <c r="M85" s="4">
        <f t="shared" ref="M85:M90" si="45">IF(OR($A85=1, MOD($A85,7)=1), I85, (M84 * MIN(1, 1+(K85/G85))) + ($C85)*(MAX((K85),0))) - G85*$S85</f>
        <v>3272589.0810546237</v>
      </c>
      <c r="N85" s="4">
        <f t="shared" ref="N85:N90" si="46">IF(OR($A85=1, MOD($A85,7)=1), J85, (N84 * MIN(1, 1+(L85/H85))) + ($C85)*(MAX((L85),0))) - H85*$S85</f>
        <v>43092258.258589983</v>
      </c>
      <c r="O85" s="149">
        <f t="shared" ref="O85:O90" si="47">(I85+T85) - M85 - (G85*$S85)</f>
        <v>1707749.9552782942</v>
      </c>
      <c r="P85" s="149">
        <f t="shared" ref="P85:P90" si="48">(J85+U85) - N85 - (H85*$S85)</f>
        <v>3226935.2912982814</v>
      </c>
      <c r="Q85" s="152">
        <f t="shared" ref="Q85:Q90" si="49">IF(MOD($A85,7)=0,O85, MAX(0,(-K85 + S85/(I85+T85))*O85))</f>
        <v>1990288.0173764541</v>
      </c>
      <c r="R85" s="152">
        <f t="shared" ref="R85:R90" si="50">IF(MOD($A85,7)=0,P85, MAX(0,(-L85 + T85/(J85+U85))*P85))</f>
        <v>0</v>
      </c>
      <c r="S85" s="140">
        <f t="shared" si="20"/>
        <v>6345732.6413840568</v>
      </c>
      <c r="T85" s="134">
        <f t="shared" si="21"/>
        <v>364973.54555887467</v>
      </c>
      <c r="U85" s="134">
        <f t="shared" si="22"/>
        <v>2002553.2264749291</v>
      </c>
      <c r="V85" s="134">
        <f t="shared" si="23"/>
        <v>8596429.7246531621</v>
      </c>
      <c r="W85" s="5">
        <f t="shared" si="24"/>
        <v>57645265.227605246</v>
      </c>
      <c r="X85" s="140">
        <f t="shared" ref="X85" si="51">0.15 * (Q85+R85+ IF(MOD(A85,7)=0,SUM(V79:V85),0))</f>
        <v>298543.20260646811</v>
      </c>
      <c r="Y85" s="141">
        <f t="shared" si="25"/>
        <v>131234333.48037757</v>
      </c>
      <c r="Z85" s="12">
        <f t="shared" ref="Z85:Z90" si="52">((1 +$B$10)^$A85) - 1</f>
        <v>2.6225231081424112</v>
      </c>
      <c r="AA85" s="5">
        <f t="shared" si="26"/>
        <v>72450462.162848219</v>
      </c>
    </row>
    <row r="86" spans="1:27" x14ac:dyDescent="0.3">
      <c r="A86">
        <v>66</v>
      </c>
      <c r="B86" s="4">
        <f t="shared" si="40"/>
        <v>131234333.48037757</v>
      </c>
      <c r="C86" s="4">
        <f t="shared" si="41"/>
        <v>51000989.383614711</v>
      </c>
      <c r="D86" s="4">
        <f t="shared" si="42"/>
        <v>80233344.096762836</v>
      </c>
      <c r="E86" s="8">
        <f t="shared" ref="E86:E90" si="53">C86/B86</f>
        <v>0.38862535459320546</v>
      </c>
      <c r="F86" s="8">
        <f t="shared" ref="F86:F90" si="54">D86/B86</f>
        <v>0.61137464540679431</v>
      </c>
      <c r="G86" s="9">
        <f t="shared" ref="G86:G90" si="55">MAX(0.05, $B$5 * EXP(-LN(2) * MAX(0, F86 - $B$15) / 0.1))</f>
        <v>6.8132506301975634E-2</v>
      </c>
      <c r="H86" s="10">
        <f t="shared" ref="H86:H90" si="56">1-G86</f>
        <v>0.93186749369802435</v>
      </c>
      <c r="I86" s="5">
        <f t="shared" ref="I86:I90" si="57">C86*G86</f>
        <v>3474825.2305861218</v>
      </c>
      <c r="J86" s="7">
        <f t="shared" ref="J86:J90" si="58">C86*H86</f>
        <v>47526164.153028592</v>
      </c>
      <c r="K86" s="8">
        <f t="shared" si="43"/>
        <v>-1.9960369695422184E-2</v>
      </c>
      <c r="L86" s="8">
        <f t="shared" si="44"/>
        <v>1.9960369695422031E-2</v>
      </c>
      <c r="M86" s="4">
        <f t="shared" si="45"/>
        <v>1866772.1812095244</v>
      </c>
      <c r="N86" s="4">
        <f t="shared" si="46"/>
        <v>37995606.390144713</v>
      </c>
      <c r="O86" s="149">
        <f t="shared" si="47"/>
        <v>1404224.6128732562</v>
      </c>
      <c r="P86" s="149">
        <f t="shared" si="48"/>
        <v>5316953.8576305164</v>
      </c>
      <c r="Q86" s="152">
        <f t="shared" si="49"/>
        <v>2506234.3124256642</v>
      </c>
      <c r="R86" s="152">
        <f t="shared" si="50"/>
        <v>0</v>
      </c>
      <c r="S86" s="140">
        <f t="shared" ref="S86:S90" si="59">$B$11*B86</f>
        <v>6561716.6740188785</v>
      </c>
      <c r="T86" s="134">
        <f t="shared" ref="T86:T90" si="60">I86*$B$8</f>
        <v>243237.76614102855</v>
      </c>
      <c r="U86" s="134">
        <f t="shared" ref="U86:U90" si="61">J86*$B$7</f>
        <v>1901046.5661211438</v>
      </c>
      <c r="V86" s="134">
        <f t="shared" ref="V86:V90" si="62">D86*$B$9</f>
        <v>9628001.2916115392</v>
      </c>
      <c r="W86" s="5">
        <f t="shared" ref="W86:W90" si="63">C86+U86+T86</f>
        <v>53145273.715876885</v>
      </c>
      <c r="X86" s="140">
        <f t="shared" ref="X86:X90" si="64">0.15 * (Q86+R86+ IF(MOD(A86,7)=0,SUM(V80:V86),0))</f>
        <v>375935.1468638496</v>
      </c>
      <c r="Y86" s="141">
        <f t="shared" ref="Y86:Y90" si="65">B86+U86+T86+V86-X86-S86</f>
        <v>136068967.28336856</v>
      </c>
      <c r="Z86" s="12">
        <f t="shared" si="52"/>
        <v>2.6949735703052591</v>
      </c>
      <c r="AA86" s="5">
        <f t="shared" ref="AA86:AA90" si="66">$B$16 * (1 + Z86)</f>
        <v>73899471.406105176</v>
      </c>
    </row>
    <row r="87" spans="1:27" x14ac:dyDescent="0.3">
      <c r="A87">
        <v>67</v>
      </c>
      <c r="B87" s="4">
        <f t="shared" si="40"/>
        <v>136068967.28336856</v>
      </c>
      <c r="C87" s="4">
        <f t="shared" si="41"/>
        <v>46207621.894994162</v>
      </c>
      <c r="D87" s="4">
        <f t="shared" si="42"/>
        <v>89861345.388374373</v>
      </c>
      <c r="E87" s="8">
        <f t="shared" si="53"/>
        <v>0.33958971555038786</v>
      </c>
      <c r="F87" s="8">
        <f t="shared" si="54"/>
        <v>0.66041028444961192</v>
      </c>
      <c r="G87" s="9">
        <f t="shared" si="55"/>
        <v>0.05</v>
      </c>
      <c r="H87" s="10">
        <f t="shared" si="56"/>
        <v>0.95</v>
      </c>
      <c r="I87" s="5">
        <f t="shared" si="57"/>
        <v>2310381.0947497082</v>
      </c>
      <c r="J87" s="7">
        <f t="shared" si="58"/>
        <v>43897240.800244451</v>
      </c>
      <c r="K87" s="8">
        <f t="shared" si="43"/>
        <v>-1.3682189150264062E-3</v>
      </c>
      <c r="L87" s="8">
        <f t="shared" si="44"/>
        <v>1.3682189150265867E-3</v>
      </c>
      <c r="M87" s="4">
        <f t="shared" si="45"/>
        <v>1475516.7028335833</v>
      </c>
      <c r="N87" s="4">
        <f t="shared" si="46"/>
        <v>31595552.586479835</v>
      </c>
      <c r="O87" s="149">
        <f t="shared" si="47"/>
        <v>656418.65034018317</v>
      </c>
      <c r="P87" s="149">
        <f t="shared" si="48"/>
        <v>7594301.8998143841</v>
      </c>
      <c r="Q87" s="152">
        <f t="shared" si="49"/>
        <v>1807417.4212521624</v>
      </c>
      <c r="R87" s="152">
        <f t="shared" si="50"/>
        <v>16512.223839747923</v>
      </c>
      <c r="S87" s="140">
        <f t="shared" si="59"/>
        <v>6803448.3641684279</v>
      </c>
      <c r="T87" s="134">
        <f t="shared" si="60"/>
        <v>161726.67663247959</v>
      </c>
      <c r="U87" s="134">
        <f t="shared" si="61"/>
        <v>1755889.6320097782</v>
      </c>
      <c r="V87" s="134">
        <f t="shared" si="62"/>
        <v>10783361.446604924</v>
      </c>
      <c r="W87" s="5">
        <f t="shared" si="63"/>
        <v>48125238.203636423</v>
      </c>
      <c r="X87" s="140">
        <f t="shared" si="64"/>
        <v>273589.44676378655</v>
      </c>
      <c r="Y87" s="141">
        <f t="shared" si="65"/>
        <v>141692907.22768354</v>
      </c>
      <c r="Z87" s="12">
        <f t="shared" si="52"/>
        <v>2.7688730417113643</v>
      </c>
      <c r="AA87" s="5">
        <f t="shared" si="66"/>
        <v>75377460.834227279</v>
      </c>
    </row>
    <row r="88" spans="1:27" x14ac:dyDescent="0.3">
      <c r="A88">
        <v>68</v>
      </c>
      <c r="B88" s="4">
        <f t="shared" si="40"/>
        <v>141692907.22768354</v>
      </c>
      <c r="C88" s="4">
        <f t="shared" si="41"/>
        <v>41048200.392704211</v>
      </c>
      <c r="D88" s="4">
        <f t="shared" si="42"/>
        <v>100644706.8349793</v>
      </c>
      <c r="E88" s="8">
        <f t="shared" si="53"/>
        <v>0.28969834267529471</v>
      </c>
      <c r="F88" s="8">
        <f t="shared" si="54"/>
        <v>0.71030165732470507</v>
      </c>
      <c r="G88" s="9">
        <f t="shared" si="55"/>
        <v>0.05</v>
      </c>
      <c r="H88" s="10">
        <f t="shared" si="56"/>
        <v>0.95</v>
      </c>
      <c r="I88" s="5">
        <f t="shared" si="57"/>
        <v>2052410.0196352107</v>
      </c>
      <c r="J88" s="7">
        <f t="shared" si="58"/>
        <v>38995790.373068996</v>
      </c>
      <c r="K88" s="8">
        <f t="shared" si="43"/>
        <v>-1.3682189150264062E-3</v>
      </c>
      <c r="L88" s="8">
        <f t="shared" si="44"/>
        <v>1.3682189150264756E-3</v>
      </c>
      <c r="M88" s="4">
        <f t="shared" si="45"/>
        <v>1080907.8375192883</v>
      </c>
      <c r="N88" s="4">
        <f t="shared" si="46"/>
        <v>24921302.417369962</v>
      </c>
      <c r="O88" s="149">
        <f t="shared" si="47"/>
        <v>760938.61542117829</v>
      </c>
      <c r="P88" s="149">
        <f t="shared" si="48"/>
        <v>8903906.4773068279</v>
      </c>
      <c r="Q88" s="152">
        <f t="shared" si="49"/>
        <v>2455862.1625064043</v>
      </c>
      <c r="R88" s="152">
        <f t="shared" si="50"/>
        <v>19359.68555649239</v>
      </c>
      <c r="S88" s="140">
        <f t="shared" si="59"/>
        <v>7084645.3613841776</v>
      </c>
      <c r="T88" s="134">
        <f t="shared" si="60"/>
        <v>143668.70137446476</v>
      </c>
      <c r="U88" s="134">
        <f t="shared" si="61"/>
        <v>1559831.6149227598</v>
      </c>
      <c r="V88" s="134">
        <f t="shared" si="62"/>
        <v>12077364.820197515</v>
      </c>
      <c r="W88" s="5">
        <f t="shared" si="63"/>
        <v>42751700.709001437</v>
      </c>
      <c r="X88" s="140">
        <f t="shared" si="64"/>
        <v>371283.27720943448</v>
      </c>
      <c r="Y88" s="141">
        <f t="shared" si="65"/>
        <v>148017843.72558469</v>
      </c>
      <c r="Z88" s="12">
        <f t="shared" si="52"/>
        <v>2.8442505025455915</v>
      </c>
      <c r="AA88" s="5">
        <f t="shared" si="66"/>
        <v>76885010.050911829</v>
      </c>
    </row>
    <row r="89" spans="1:27" x14ac:dyDescent="0.3">
      <c r="A89">
        <v>69</v>
      </c>
      <c r="B89" s="4">
        <f t="shared" si="40"/>
        <v>148017843.72558469</v>
      </c>
      <c r="C89" s="4">
        <f t="shared" si="41"/>
        <v>35295772.070407823</v>
      </c>
      <c r="D89" s="4">
        <f t="shared" si="42"/>
        <v>112722071.65517682</v>
      </c>
      <c r="E89" s="8">
        <f t="shared" si="53"/>
        <v>0.23845619678019264</v>
      </c>
      <c r="F89" s="8">
        <f t="shared" si="54"/>
        <v>0.76154380321980708</v>
      </c>
      <c r="G89" s="9">
        <f t="shared" si="55"/>
        <v>0.05</v>
      </c>
      <c r="H89" s="10">
        <f t="shared" si="56"/>
        <v>0.95</v>
      </c>
      <c r="I89" s="5">
        <f t="shared" si="57"/>
        <v>1764788.6035203913</v>
      </c>
      <c r="J89" s="7">
        <f t="shared" si="58"/>
        <v>33530983.466887429</v>
      </c>
      <c r="K89" s="8">
        <f t="shared" si="43"/>
        <v>-1.3682189150263993E-3</v>
      </c>
      <c r="L89" s="8">
        <f t="shared" si="44"/>
        <v>1.3682189150264756E-3</v>
      </c>
      <c r="M89" s="4">
        <f t="shared" si="45"/>
        <v>681284.85723144305</v>
      </c>
      <c r="N89" s="4">
        <f t="shared" si="46"/>
        <v>17938747.183371883</v>
      </c>
      <c r="O89" s="149">
        <f t="shared" si="47"/>
        <v>836994.33922141371</v>
      </c>
      <c r="P89" s="149">
        <f t="shared" si="48"/>
        <v>9902628.045225773</v>
      </c>
      <c r="Q89" s="152">
        <f t="shared" si="49"/>
        <v>3281570.3210042547</v>
      </c>
      <c r="R89" s="152">
        <f t="shared" si="50"/>
        <v>21531.197079291553</v>
      </c>
      <c r="S89" s="140">
        <f t="shared" si="59"/>
        <v>7400892.1862792345</v>
      </c>
      <c r="T89" s="134">
        <f t="shared" si="60"/>
        <v>123535.20224642741</v>
      </c>
      <c r="U89" s="134">
        <f t="shared" si="61"/>
        <v>1341239.3386754971</v>
      </c>
      <c r="V89" s="134">
        <f t="shared" si="62"/>
        <v>13526648.598621218</v>
      </c>
      <c r="W89" s="5">
        <f t="shared" si="63"/>
        <v>36760546.611329749</v>
      </c>
      <c r="X89" s="140">
        <f t="shared" si="64"/>
        <v>495465.22771253192</v>
      </c>
      <c r="Y89" s="141">
        <f t="shared" si="65"/>
        <v>155112909.45113605</v>
      </c>
      <c r="Z89" s="12">
        <f t="shared" si="52"/>
        <v>2.9211355125965035</v>
      </c>
      <c r="AA89" s="5">
        <f t="shared" si="66"/>
        <v>78422710.251930073</v>
      </c>
    </row>
    <row r="90" spans="1:27" x14ac:dyDescent="0.3">
      <c r="A90">
        <v>70</v>
      </c>
      <c r="B90" s="4">
        <f t="shared" si="40"/>
        <v>155112909.45113605</v>
      </c>
      <c r="C90" s="4">
        <f t="shared" si="41"/>
        <v>28864189.197337985</v>
      </c>
      <c r="D90" s="4">
        <f t="shared" si="42"/>
        <v>126248720.25379804</v>
      </c>
      <c r="E90" s="8">
        <f t="shared" si="53"/>
        <v>0.18608502219108225</v>
      </c>
      <c r="F90" s="8">
        <f t="shared" si="54"/>
        <v>0.81391497780891753</v>
      </c>
      <c r="G90" s="9">
        <f t="shared" si="55"/>
        <v>0.05</v>
      </c>
      <c r="H90" s="10">
        <f t="shared" si="56"/>
        <v>0.95</v>
      </c>
      <c r="I90" s="5">
        <f t="shared" si="57"/>
        <v>1443209.4598668993</v>
      </c>
      <c r="J90" s="7">
        <f t="shared" si="58"/>
        <v>27420979.737471085</v>
      </c>
      <c r="K90" s="8">
        <f t="shared" si="43"/>
        <v>-1.3682189150264062E-3</v>
      </c>
      <c r="L90" s="8">
        <f t="shared" si="44"/>
        <v>1.3682189150263646E-3</v>
      </c>
      <c r="M90" s="4">
        <f t="shared" si="45"/>
        <v>274859.6470399003</v>
      </c>
      <c r="N90" s="4">
        <f t="shared" si="46"/>
        <v>10610376.514069617</v>
      </c>
      <c r="O90" s="149">
        <f t="shared" si="47"/>
        <v>881592.20138984174</v>
      </c>
      <c r="P90" s="149">
        <f t="shared" si="48"/>
        <v>10539579.213971347</v>
      </c>
      <c r="Q90" s="152">
        <f t="shared" si="49"/>
        <v>881592.20138984174</v>
      </c>
      <c r="R90" s="152">
        <f t="shared" si="50"/>
        <v>10539579.213971347</v>
      </c>
      <c r="S90" s="140">
        <f t="shared" si="59"/>
        <v>7755645.4725568034</v>
      </c>
      <c r="T90" s="134">
        <f t="shared" si="60"/>
        <v>101024.66219068297</v>
      </c>
      <c r="U90" s="134">
        <f t="shared" si="61"/>
        <v>1096839.1894988434</v>
      </c>
      <c r="V90" s="134">
        <f t="shared" si="62"/>
        <v>15149846.430455765</v>
      </c>
      <c r="W90" s="5">
        <f t="shared" si="63"/>
        <v>30062053.04902751</v>
      </c>
      <c r="X90" s="140">
        <f t="shared" si="64"/>
        <v>13328731.111534702</v>
      </c>
      <c r="Y90" s="141">
        <f t="shared" si="65"/>
        <v>150376243.14918983</v>
      </c>
      <c r="Z90" s="12">
        <f t="shared" si="52"/>
        <v>2.9995582228484339</v>
      </c>
      <c r="AA90" s="5">
        <f t="shared" si="66"/>
        <v>79991164.45696868</v>
      </c>
    </row>
  </sheetData>
  <mergeCells count="3">
    <mergeCell ref="A1:C1"/>
    <mergeCell ref="E1:H1"/>
    <mergeCell ref="K1:L1"/>
  </mergeCells>
  <phoneticPr fontId="8" type="noConversion"/>
  <dataValidations count="1">
    <dataValidation type="list" allowBlank="1" showInputMessage="1" showErrorMessage="1" sqref="L3" xr:uid="{5C686EF8-EDF3-4716-AD09-601BBDCB9EC3}">
      <formula1>$F$2:$H$2</formula1>
    </dataValidation>
  </dataValidations>
  <pageMargins left="0.511811024" right="0.511811024" top="0.78740157499999996" bottom="0.78740157499999996" header="0.31496062000000002" footer="0.31496062000000002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D0F60-1F2B-4641-8811-0362A88E751C}">
  <dimension ref="A1:AA76"/>
  <sheetViews>
    <sheetView showGridLines="0" topLeftCell="A12" zoomScaleNormal="100" workbookViewId="0">
      <selection activeCell="D32" sqref="D32"/>
    </sheetView>
  </sheetViews>
  <sheetFormatPr defaultColWidth="27.88671875" defaultRowHeight="14.4" x14ac:dyDescent="0.3"/>
  <cols>
    <col min="3" max="3" width="47.33203125" customWidth="1"/>
    <col min="6" max="6" width="31.5546875" customWidth="1"/>
    <col min="7" max="7" width="38" customWidth="1"/>
    <col min="8" max="8" width="43.33203125" customWidth="1"/>
  </cols>
  <sheetData>
    <row r="1" spans="1:17" ht="26.4" thickBot="1" x14ac:dyDescent="0.35">
      <c r="A1" s="168" t="s">
        <v>112</v>
      </c>
      <c r="B1" s="169"/>
      <c r="C1" s="170"/>
      <c r="E1" s="168" t="s">
        <v>102</v>
      </c>
      <c r="F1" s="169"/>
      <c r="G1" s="169"/>
      <c r="H1" s="170"/>
      <c r="I1" s="4"/>
      <c r="J1" s="198" t="s">
        <v>113</v>
      </c>
      <c r="K1" s="199"/>
      <c r="L1" s="199"/>
      <c r="M1" s="200"/>
    </row>
    <row r="2" spans="1:17" x14ac:dyDescent="0.3">
      <c r="A2" t="s">
        <v>3</v>
      </c>
      <c r="B2" t="s">
        <v>12</v>
      </c>
      <c r="C2" t="s">
        <v>13</v>
      </c>
      <c r="E2" s="1" t="s">
        <v>5</v>
      </c>
      <c r="F2" s="1" t="s">
        <v>0</v>
      </c>
      <c r="G2" s="1" t="s">
        <v>1</v>
      </c>
      <c r="H2" s="1" t="s">
        <v>2</v>
      </c>
      <c r="J2" t="s">
        <v>40</v>
      </c>
      <c r="K2" t="s">
        <v>41</v>
      </c>
      <c r="L2" t="s">
        <v>42</v>
      </c>
      <c r="M2" t="s">
        <v>43</v>
      </c>
    </row>
    <row r="3" spans="1:17" x14ac:dyDescent="0.3">
      <c r="A3" t="s">
        <v>11</v>
      </c>
      <c r="B3" s="2">
        <f>HLOOKUP($B$24,Tabela29[#All],4,FALSE)</f>
        <v>0.52042067461097496</v>
      </c>
      <c r="C3" s="1" t="s">
        <v>46</v>
      </c>
      <c r="E3" s="1">
        <v>1995</v>
      </c>
      <c r="F3" s="2">
        <v>0.23906607718400008</v>
      </c>
      <c r="G3" s="2">
        <v>0.37195198902606308</v>
      </c>
      <c r="H3" s="2">
        <v>0.23480780112538907</v>
      </c>
      <c r="I3" s="4"/>
      <c r="J3" t="s">
        <v>10</v>
      </c>
      <c r="K3">
        <v>30</v>
      </c>
      <c r="L3">
        <v>40</v>
      </c>
      <c r="M3">
        <v>75</v>
      </c>
    </row>
    <row r="4" spans="1:17" x14ac:dyDescent="0.3">
      <c r="A4" t="s">
        <v>14</v>
      </c>
      <c r="B4" s="2">
        <f>1 -B3</f>
        <v>0.47957932538902504</v>
      </c>
      <c r="C4" s="1" t="s">
        <v>47</v>
      </c>
      <c r="E4" s="1">
        <v>1996</v>
      </c>
      <c r="F4" s="2">
        <v>0.30387514145128991</v>
      </c>
      <c r="G4" s="2">
        <v>0.22680966018865789</v>
      </c>
      <c r="H4" s="2">
        <v>1.428607793401844E-2</v>
      </c>
      <c r="I4" s="4"/>
      <c r="J4" t="s">
        <v>44</v>
      </c>
      <c r="K4" s="3">
        <v>0.02</v>
      </c>
      <c r="L4" s="3">
        <v>0.04</v>
      </c>
      <c r="M4" s="3">
        <v>0.05</v>
      </c>
    </row>
    <row r="5" spans="1:17" x14ac:dyDescent="0.3">
      <c r="A5" t="s">
        <v>15</v>
      </c>
      <c r="B5" s="2">
        <f>HLOOKUP($B$24,Tabela29[#All],6,FALSE) / (HLOOKUP($B$24,Tabela29[#All],6,FALSE) + HLOOKUP($B$24,Tabela29[#All],5,FALSE))</f>
        <v>0.10425825637437004</v>
      </c>
      <c r="C5" s="1" t="s">
        <v>48</v>
      </c>
      <c r="E5" s="1">
        <v>1997</v>
      </c>
      <c r="F5" s="2">
        <v>0.28713348395918015</v>
      </c>
      <c r="G5" s="2">
        <v>0.33103653103653097</v>
      </c>
      <c r="H5" s="2">
        <v>9.939130272977531E-2</v>
      </c>
      <c r="I5" s="4"/>
      <c r="J5" t="s">
        <v>92</v>
      </c>
      <c r="K5" s="13">
        <f>'1. Dados Históricos'!AG12</f>
        <v>0.46245655241036443</v>
      </c>
      <c r="L5" s="116">
        <f>'1. Dados Históricos'!AG23</f>
        <v>0.3624502359819492</v>
      </c>
      <c r="M5" s="116">
        <f>'1. Dados Históricos'!Z34</f>
        <v>0.52042067461097496</v>
      </c>
    </row>
    <row r="6" spans="1:17" x14ac:dyDescent="0.3">
      <c r="A6" t="s">
        <v>16</v>
      </c>
      <c r="B6" s="2">
        <f>1 -B5</f>
        <v>0.89574174362562997</v>
      </c>
      <c r="C6" s="1" t="s">
        <v>49</v>
      </c>
      <c r="E6" s="1">
        <v>1998</v>
      </c>
      <c r="F6" s="2">
        <v>0.16816404344880009</v>
      </c>
      <c r="G6" s="2">
        <v>0.28337953278443584</v>
      </c>
      <c r="H6" s="2">
        <v>0.14921431922606215</v>
      </c>
      <c r="I6" s="4"/>
      <c r="J6" t="s">
        <v>90</v>
      </c>
      <c r="K6" s="13">
        <f>'1. Dados Históricos'!AI12</f>
        <v>0.41754344423243056</v>
      </c>
      <c r="L6" s="116">
        <f>'1. Dados Históricos'!AI23</f>
        <v>0.49504976406862211</v>
      </c>
      <c r="M6" s="116">
        <f>'1. Dados Históricos'!AB34</f>
        <v>0.4295783253890248</v>
      </c>
    </row>
    <row r="7" spans="1:17" x14ac:dyDescent="0.3">
      <c r="A7" t="s">
        <v>17</v>
      </c>
      <c r="B7" s="2">
        <v>0.04</v>
      </c>
      <c r="C7" s="1" t="s">
        <v>50</v>
      </c>
      <c r="E7" s="1">
        <v>1999</v>
      </c>
      <c r="F7" s="2">
        <v>0.38621119782526625</v>
      </c>
      <c r="G7" s="2">
        <v>0.20885350992084475</v>
      </c>
      <c r="H7" s="2">
        <v>-8.2542147962685761E-2</v>
      </c>
      <c r="I7" s="4"/>
      <c r="J7" t="s">
        <v>91</v>
      </c>
      <c r="K7" s="13">
        <f>'1. Dados Históricos'!AH12</f>
        <v>0.12000000000000002</v>
      </c>
      <c r="L7" s="116">
        <f>'1. Dados Históricos'!AH23</f>
        <v>0.14249999999999999</v>
      </c>
      <c r="M7" s="116">
        <f>'1. Dados Históricos'!AA34</f>
        <v>0.05</v>
      </c>
    </row>
    <row r="8" spans="1:17" x14ac:dyDescent="0.3">
      <c r="A8" t="s">
        <v>18</v>
      </c>
      <c r="B8" s="2">
        <v>7.0000000000000007E-2</v>
      </c>
      <c r="C8" s="1" t="s">
        <v>51</v>
      </c>
      <c r="E8" s="1">
        <v>2000</v>
      </c>
      <c r="F8" s="2">
        <v>4.45293816096346E-2</v>
      </c>
      <c r="G8" s="2">
        <v>-9.0318189552492781E-2</v>
      </c>
      <c r="H8" s="2">
        <v>0.16655267125397488</v>
      </c>
      <c r="I8" s="4"/>
      <c r="J8" t="s">
        <v>45</v>
      </c>
      <c r="K8" s="3">
        <v>0.6</v>
      </c>
      <c r="L8" s="3">
        <v>0.5</v>
      </c>
      <c r="M8" s="3">
        <v>0.4</v>
      </c>
      <c r="N8" s="130" t="s">
        <v>114</v>
      </c>
    </row>
    <row r="9" spans="1:17" x14ac:dyDescent="0.3">
      <c r="A9" t="s">
        <v>19</v>
      </c>
      <c r="B9" s="2">
        <v>0.12</v>
      </c>
      <c r="C9" s="1" t="s">
        <v>52</v>
      </c>
      <c r="E9" s="1">
        <v>2001</v>
      </c>
      <c r="F9" s="2">
        <v>-0.11350959748893275</v>
      </c>
      <c r="G9" s="2">
        <v>-0.11849759142000185</v>
      </c>
      <c r="H9" s="2">
        <v>5.5721811892492555E-2</v>
      </c>
      <c r="I9" s="4"/>
      <c r="J9" s="4"/>
      <c r="K9" s="4"/>
      <c r="N9" s="3"/>
      <c r="O9" s="3"/>
      <c r="P9" s="3"/>
    </row>
    <row r="10" spans="1:17" x14ac:dyDescent="0.3">
      <c r="A10" t="s">
        <v>4</v>
      </c>
      <c r="B10" s="2">
        <v>0.02</v>
      </c>
      <c r="C10" s="1" t="s">
        <v>4</v>
      </c>
      <c r="E10" s="1">
        <v>2002</v>
      </c>
      <c r="F10" s="2">
        <v>-3.9531946832649933E-2</v>
      </c>
      <c r="G10" s="2">
        <v>-0.21966047957912699</v>
      </c>
      <c r="H10" s="2">
        <v>0.15116400378109285</v>
      </c>
      <c r="N10" s="3"/>
      <c r="O10" s="3"/>
      <c r="P10" s="3"/>
    </row>
    <row r="11" spans="1:17" x14ac:dyDescent="0.3">
      <c r="A11" t="s">
        <v>20</v>
      </c>
      <c r="B11" s="2">
        <f>HLOOKUP($B$24,Tabela29[#All],3,FALSE)</f>
        <v>0.05</v>
      </c>
      <c r="C11" s="1" t="s">
        <v>53</v>
      </c>
      <c r="E11" s="1">
        <v>2003</v>
      </c>
      <c r="F11" s="2">
        <v>0.24162202986531911</v>
      </c>
      <c r="G11" s="2">
        <v>0.28355800050010233</v>
      </c>
      <c r="H11" s="2">
        <v>3.7531858817758529E-3</v>
      </c>
      <c r="J11" s="4"/>
      <c r="K11" s="4"/>
      <c r="N11" s="150"/>
      <c r="O11" s="3"/>
      <c r="P11" s="3"/>
    </row>
    <row r="12" spans="1:17" x14ac:dyDescent="0.3">
      <c r="A12" t="s">
        <v>21</v>
      </c>
      <c r="B12" s="2">
        <v>0.15</v>
      </c>
      <c r="C12" s="1" t="s">
        <v>54</v>
      </c>
      <c r="E12" s="1">
        <v>2004</v>
      </c>
      <c r="F12" s="2">
        <v>0.28527889044139987</v>
      </c>
      <c r="G12" s="2">
        <v>0.10742775944096193</v>
      </c>
      <c r="H12" s="2">
        <v>4.490683702274547E-2</v>
      </c>
      <c r="I12" s="130"/>
    </row>
    <row r="13" spans="1:17" x14ac:dyDescent="0.3">
      <c r="A13" t="s">
        <v>9</v>
      </c>
      <c r="B13" s="2">
        <v>0.04</v>
      </c>
      <c r="C13" s="1" t="s">
        <v>55</v>
      </c>
      <c r="E13" s="1">
        <v>2005</v>
      </c>
      <c r="F13" s="2">
        <v>0.26575342644446098</v>
      </c>
      <c r="G13" s="2">
        <v>4.8344775232688535E-2</v>
      </c>
      <c r="H13" s="2">
        <v>2.8675329597779506E-2</v>
      </c>
      <c r="P13" s="8"/>
      <c r="Q13" s="8"/>
    </row>
    <row r="14" spans="1:17" x14ac:dyDescent="0.3">
      <c r="A14" t="s">
        <v>22</v>
      </c>
      <c r="B14" s="1">
        <v>7</v>
      </c>
      <c r="C14" s="1" t="s">
        <v>23</v>
      </c>
      <c r="E14" s="1">
        <v>2006</v>
      </c>
      <c r="F14" s="2">
        <v>0.37906170734080002</v>
      </c>
      <c r="G14" s="2">
        <v>0.15612557979315703</v>
      </c>
      <c r="H14" s="2">
        <v>1.9610012417568386E-2</v>
      </c>
    </row>
    <row r="15" spans="1:17" x14ac:dyDescent="0.3">
      <c r="A15" t="s">
        <v>24</v>
      </c>
      <c r="B15" s="2">
        <f>HLOOKUP($B$24,Tabela29[#All],7,FALSE)</f>
        <v>0.4</v>
      </c>
      <c r="C15" s="1" t="s">
        <v>25</v>
      </c>
      <c r="E15" s="1">
        <v>2007</v>
      </c>
      <c r="F15" s="2">
        <v>0.25253221070384013</v>
      </c>
      <c r="G15" s="2">
        <v>5.4847352464217694E-2</v>
      </c>
      <c r="H15" s="2">
        <v>0.10209921930012807</v>
      </c>
    </row>
    <row r="16" spans="1:17" x14ac:dyDescent="0.3">
      <c r="A16" t="s">
        <v>7</v>
      </c>
      <c r="B16" s="11">
        <v>20000000</v>
      </c>
      <c r="C16" s="1" t="s">
        <v>56</v>
      </c>
      <c r="E16" s="1">
        <v>2008</v>
      </c>
      <c r="F16" s="2">
        <v>-0.28966922859519983</v>
      </c>
      <c r="G16" s="2">
        <v>-0.36552344111798191</v>
      </c>
      <c r="H16" s="2">
        <v>0.20101279926977011</v>
      </c>
    </row>
    <row r="17" spans="1:8" x14ac:dyDescent="0.3">
      <c r="A17" t="s">
        <v>57</v>
      </c>
      <c r="B17" s="1">
        <v>90</v>
      </c>
      <c r="C17" s="1" t="s">
        <v>58</v>
      </c>
      <c r="E17" s="1">
        <v>2009</v>
      </c>
      <c r="F17" s="2">
        <v>0.17127187881030803</v>
      </c>
      <c r="G17" s="2">
        <v>0.25935233877663982</v>
      </c>
      <c r="H17" s="2">
        <v>-0.11116695313259162</v>
      </c>
    </row>
    <row r="18" spans="1:8" x14ac:dyDescent="0.3">
      <c r="A18" t="s">
        <v>10</v>
      </c>
      <c r="B18" s="1">
        <f>HLOOKUP($B$24,Tabela29[#All],2,FALSE)</f>
        <v>75</v>
      </c>
      <c r="C18" s="1" t="s">
        <v>59</v>
      </c>
      <c r="E18" s="1">
        <v>2010</v>
      </c>
      <c r="F18" s="2">
        <v>0.20782132131128161</v>
      </c>
      <c r="G18" s="2">
        <v>0.14821092278719414</v>
      </c>
      <c r="H18" s="2">
        <v>8.4629338803557719E-2</v>
      </c>
    </row>
    <row r="19" spans="1:8" x14ac:dyDescent="0.3">
      <c r="E19" s="1">
        <v>2011</v>
      </c>
      <c r="F19" s="2">
        <v>6.9234969452141915E-2</v>
      </c>
      <c r="G19" s="2">
        <v>2.09837473362805E-2</v>
      </c>
      <c r="H19" s="2">
        <v>0.16035334999461354</v>
      </c>
    </row>
    <row r="20" spans="1:8" x14ac:dyDescent="0.3">
      <c r="E20" s="1">
        <v>2012</v>
      </c>
      <c r="F20" s="2">
        <v>0.14355029237825589</v>
      </c>
      <c r="G20" s="2">
        <v>0.15890585241730293</v>
      </c>
      <c r="H20" s="2">
        <v>2.971571978018946E-2</v>
      </c>
    </row>
    <row r="21" spans="1:8" ht="15" thickBot="1" x14ac:dyDescent="0.35">
      <c r="E21" s="1">
        <v>2013</v>
      </c>
      <c r="F21" s="2">
        <v>0.20681101121665724</v>
      </c>
      <c r="G21" s="2">
        <v>0.32145085858125483</v>
      </c>
      <c r="H21" s="2">
        <v>-9.104568794347262E-2</v>
      </c>
    </row>
    <row r="22" spans="1:8" ht="26.4" thickBot="1" x14ac:dyDescent="0.35">
      <c r="A22" s="168" t="s">
        <v>115</v>
      </c>
      <c r="B22" s="201"/>
      <c r="E22" s="1">
        <v>2014</v>
      </c>
      <c r="F22" s="2">
        <v>0.10044195308845283</v>
      </c>
      <c r="G22" s="2">
        <v>0.13524421649462237</v>
      </c>
      <c r="H22" s="2">
        <v>0.10746180452004755</v>
      </c>
    </row>
    <row r="23" spans="1:8" x14ac:dyDescent="0.3">
      <c r="E23" s="1">
        <v>2015</v>
      </c>
      <c r="F23" s="2">
        <v>8.5955737676761679E-2</v>
      </c>
      <c r="G23" s="2">
        <v>1.3788916411676138E-2</v>
      </c>
      <c r="H23" s="2">
        <v>1.2842996709792224E-2</v>
      </c>
    </row>
    <row r="24" spans="1:8" x14ac:dyDescent="0.3">
      <c r="A24" s="148" t="s">
        <v>60</v>
      </c>
      <c r="B24" s="148" t="s">
        <v>43</v>
      </c>
      <c r="E24" s="1">
        <v>2016</v>
      </c>
      <c r="F24" s="2">
        <v>0.11346904183676476</v>
      </c>
      <c r="G24" s="2">
        <v>0.11773080874798171</v>
      </c>
      <c r="H24" s="2">
        <v>6.9055046987477921E-3</v>
      </c>
    </row>
    <row r="25" spans="1:8" x14ac:dyDescent="0.3">
      <c r="E25" s="1">
        <v>2017</v>
      </c>
      <c r="F25" s="2">
        <v>0.22423202383446283</v>
      </c>
      <c r="G25" s="2">
        <v>0.2160548143449928</v>
      </c>
      <c r="H25" s="2">
        <v>2.8017162707789457E-2</v>
      </c>
    </row>
    <row r="26" spans="1:8" x14ac:dyDescent="0.3">
      <c r="A26" s="131" t="s">
        <v>126</v>
      </c>
      <c r="B26" s="131">
        <f>Y76</f>
        <v>63902543.753406987</v>
      </c>
      <c r="E26" s="1">
        <v>2018</v>
      </c>
      <c r="F26" s="2">
        <v>9.3120836856569911E-2</v>
      </c>
      <c r="G26" s="2">
        <v>-4.2268692890885438E-2</v>
      </c>
      <c r="H26" s="2">
        <v>-1.6692385713402633E-4</v>
      </c>
    </row>
    <row r="27" spans="1:8" x14ac:dyDescent="0.3">
      <c r="A27" s="135" t="s">
        <v>127</v>
      </c>
      <c r="B27" s="158">
        <f>(B26-B16)/B16</f>
        <v>2.1951271876703493</v>
      </c>
      <c r="E27" s="1">
        <v>2019</v>
      </c>
      <c r="F27" s="2">
        <v>0.17272262894975987</v>
      </c>
      <c r="G27" s="2">
        <v>0.31211679996808755</v>
      </c>
      <c r="H27" s="2">
        <v>9.6356307415483927E-2</v>
      </c>
    </row>
    <row r="28" spans="1:8" x14ac:dyDescent="0.3">
      <c r="A28" s="132" t="s">
        <v>128</v>
      </c>
      <c r="B28" s="159">
        <f>MIN(AA47:AA76)</f>
        <v>-0.55463279178418223</v>
      </c>
      <c r="E28" s="1">
        <v>2020</v>
      </c>
      <c r="F28" s="2">
        <v>0.22940000000000002</v>
      </c>
      <c r="G28" s="2">
        <v>0.18023201827422478</v>
      </c>
      <c r="H28" s="2">
        <v>0.1133189764661412</v>
      </c>
    </row>
    <row r="29" spans="1:8" x14ac:dyDescent="0.3">
      <c r="A29" s="133" t="s">
        <v>61</v>
      </c>
      <c r="B29" s="134">
        <f>$L$6-$L$7</f>
        <v>0.35254976406862215</v>
      </c>
      <c r="E29" s="1">
        <v>2021</v>
      </c>
      <c r="F29" s="2">
        <v>9.2300000000000007E-2</v>
      </c>
      <c r="G29" s="2">
        <v>0.28468851751964158</v>
      </c>
      <c r="H29" s="2">
        <v>-4.416034448604475E-2</v>
      </c>
    </row>
    <row r="30" spans="1:8" x14ac:dyDescent="0.3">
      <c r="E30" s="1">
        <v>2022</v>
      </c>
      <c r="F30" s="2">
        <v>-0.15960000000000002</v>
      </c>
      <c r="G30" s="2">
        <v>-0.18037505927178585</v>
      </c>
      <c r="H30" s="2">
        <v>-0.1782817153825067</v>
      </c>
    </row>
    <row r="31" spans="1:8" x14ac:dyDescent="0.3">
      <c r="E31" s="1">
        <v>2023</v>
      </c>
      <c r="F31" s="2">
        <v>0.30210000000000004</v>
      </c>
      <c r="G31" s="2">
        <v>0.26060684985024096</v>
      </c>
      <c r="H31" s="2">
        <v>3.8800000000000001E-2</v>
      </c>
    </row>
    <row r="32" spans="1:8" x14ac:dyDescent="0.3">
      <c r="E32" s="1">
        <v>2024</v>
      </c>
      <c r="F32" s="2">
        <v>0.14699999999999999</v>
      </c>
      <c r="G32" s="2">
        <v>0.24878611262526726</v>
      </c>
      <c r="H32" s="2">
        <v>-1.6371801436629807E-2</v>
      </c>
    </row>
    <row r="46" spans="1:27" ht="28.2" customHeight="1" x14ac:dyDescent="0.3">
      <c r="A46" s="137" t="s">
        <v>5</v>
      </c>
      <c r="B46" s="138" t="s">
        <v>7</v>
      </c>
      <c r="C46" s="138" t="s">
        <v>36</v>
      </c>
      <c r="D46" s="138" t="s">
        <v>26</v>
      </c>
      <c r="E46" s="138" t="s">
        <v>28</v>
      </c>
      <c r="F46" s="138" t="s">
        <v>29</v>
      </c>
      <c r="G46" s="139" t="s">
        <v>30</v>
      </c>
      <c r="H46" s="139" t="s">
        <v>31</v>
      </c>
      <c r="I46" s="139" t="s">
        <v>32</v>
      </c>
      <c r="J46" s="139" t="s">
        <v>27</v>
      </c>
      <c r="K46" s="139" t="s">
        <v>123</v>
      </c>
      <c r="L46" s="139" t="s">
        <v>124</v>
      </c>
      <c r="M46" s="139" t="s">
        <v>117</v>
      </c>
      <c r="N46" s="139" t="s">
        <v>116</v>
      </c>
      <c r="O46" s="139" t="s">
        <v>119</v>
      </c>
      <c r="P46" s="139" t="s">
        <v>120</v>
      </c>
      <c r="Q46" s="139" t="s">
        <v>121</v>
      </c>
      <c r="R46" s="139" t="s">
        <v>122</v>
      </c>
      <c r="S46" s="139" t="s">
        <v>8</v>
      </c>
      <c r="T46" s="139" t="s">
        <v>38</v>
      </c>
      <c r="U46" s="139" t="s">
        <v>37</v>
      </c>
      <c r="V46" s="139" t="s">
        <v>39</v>
      </c>
      <c r="W46" s="139" t="s">
        <v>118</v>
      </c>
      <c r="X46" s="139" t="s">
        <v>35</v>
      </c>
      <c r="Y46" s="139" t="s">
        <v>6</v>
      </c>
      <c r="Z46" s="156" t="s">
        <v>129</v>
      </c>
      <c r="AA46" s="156" t="s">
        <v>130</v>
      </c>
    </row>
    <row r="47" spans="1:27" x14ac:dyDescent="0.3">
      <c r="A47" cm="1">
        <f t="array" ref="A47:A76">_xlfn.SEQUENCE(30,,,1)</f>
        <v>1</v>
      </c>
      <c r="B47" s="4">
        <f>IF($A47=1,$B$16,Y46)</f>
        <v>20000000</v>
      </c>
      <c r="C47" s="4">
        <f>IF(OR($A47=1, MOD($A47,7)=1),$B$4*$B47, I46+T46+J46+U46-(S46+X46))</f>
        <v>9591586.5077805016</v>
      </c>
      <c r="D47" s="4">
        <f>IF(OR($A47=1, MOD($A47,7)=1),$B$3*$B47, D46+V46)</f>
        <v>10408413.492219498</v>
      </c>
      <c r="E47" s="8">
        <f>C47/B47</f>
        <v>0.47957932538902509</v>
      </c>
      <c r="F47" s="8">
        <f>D47/B47</f>
        <v>0.52042067461097496</v>
      </c>
      <c r="G47" s="9">
        <f>MAX(0.05, $B$5 * EXP(-LN(2) * MAX(0, F47 - $B$15) / 0.1))</f>
        <v>0.05</v>
      </c>
      <c r="H47" s="10">
        <f t="shared" ref="H47" si="0">1-G47</f>
        <v>0.95</v>
      </c>
      <c r="I47" s="5">
        <f>C47*G47</f>
        <v>479579.32538902509</v>
      </c>
      <c r="J47" s="7">
        <f>C47*H47</f>
        <v>9112007.1823914759</v>
      </c>
      <c r="K47" s="8">
        <f>- ((I47+T47)/$W47 - MAX(0.05, $B$5 * EXP(-LN(2) * MAX(0, (($D47+$V47)/($B47+$T47+$U47+$V47-$S47)) - $B$15) / 0.1)))</f>
        <v>-5.2464625080734378E-3</v>
      </c>
      <c r="L47" s="8">
        <f>- ((J47+U47)/$W47 - (1 - MAX(0.05, $B$5 * EXP(-LN(2) * MAX(0, (($D47+$V47)/($B47+$T47+$U47+$V47-$S47)) - $B$15) / 0.1))))</f>
        <v>5.2464625080734795E-3</v>
      </c>
      <c r="M47" s="4">
        <f>IF(OR($A47=1, MOD($A47,7)=1), I47, (M46 * MIN(1, 1+(K47/G47))) + ($C47)*(MAX((K47),0))) - G47*$S47</f>
        <v>429579.32538902509</v>
      </c>
      <c r="N47" s="4">
        <f>IF(OR($A47=1, MOD($A47,7)=1), J47, (N46 * MIN(1, 1+(L47/H47))) + ($C47)*(MAX((L47),0))) - H47*$S47</f>
        <v>8162007.1823914759</v>
      </c>
      <c r="O47" s="149">
        <f>(I47+T47) - M47 - (G47*$S47)</f>
        <v>178380.48397422541</v>
      </c>
      <c r="P47" s="149">
        <f>(J47+U47) - N47 - (H47*$S47)</f>
        <v>2139570.3703360949</v>
      </c>
      <c r="Q47" s="152">
        <f>IF(MOD($A47,7)=0,O47, MAX(0,(-K47 + S47/(I47+T47))*O47))</f>
        <v>272047.38645879237</v>
      </c>
      <c r="R47" s="152">
        <f>IF(MOD($A47,7)=0,P47, MAX(0,(-L47 + T47/(J47+U47))*P47))</f>
        <v>22695.187557165827</v>
      </c>
      <c r="S47" s="140">
        <f>$B$11*B47</f>
        <v>1000000</v>
      </c>
      <c r="T47" s="134">
        <f>I47*G3</f>
        <v>178380.48397422538</v>
      </c>
      <c r="U47" s="134">
        <f>J47*H3</f>
        <v>2139570.3703360944</v>
      </c>
      <c r="V47" s="134">
        <f>D47*F3</f>
        <v>2488298.5832939344</v>
      </c>
      <c r="W47" s="5">
        <f>C47+U47+T47</f>
        <v>11909537.362090822</v>
      </c>
      <c r="X47" s="140">
        <f>MAX(0, 0.15 * (IF(R47=0,-ABS(U47*L47),R47)+IF(Q47=0,-ABS(T47*K47),Q47)+ IF(MOD(A47,7)=0,SUM(V41:V47),0)))</f>
        <v>44211.386102393728</v>
      </c>
      <c r="Y47" s="141">
        <f>B47+U47+T47+V47-X47-S47</f>
        <v>23762038.051501859</v>
      </c>
      <c r="Z47" s="12">
        <f>(Y47-$B$16)/$B$16</f>
        <v>0.18810190257509296</v>
      </c>
      <c r="AA47" s="8">
        <f>(Y47 - MAX($Y$47:Y47))/Y47</f>
        <v>0</v>
      </c>
    </row>
    <row r="48" spans="1:27" x14ac:dyDescent="0.3">
      <c r="A48">
        <v>2</v>
      </c>
      <c r="B48" s="4">
        <f t="shared" ref="B48:B76" si="1">IF($A48=1,$B$16,Y47)</f>
        <v>23762038.051501859</v>
      </c>
      <c r="C48" s="4">
        <f t="shared" ref="C48:C76" si="2">IF(OR($A48=1, MOD($A48,7)=1),$B$4*$B48, I47+T47+J47+U47-(S47+X47))</f>
        <v>10865325.975988427</v>
      </c>
      <c r="D48" s="4">
        <f t="shared" ref="D48:D76" si="3">IF(OR($A48=1, MOD($A48,7)=1),$B$3*$B48, D47+V47)</f>
        <v>12896712.075513434</v>
      </c>
      <c r="E48" s="8">
        <f t="shared" ref="E48:E76" si="4">C48/B48</f>
        <v>0.45725564248482858</v>
      </c>
      <c r="F48" s="8">
        <f t="shared" ref="F48:F76" si="5">D48/B48</f>
        <v>0.54274435751517147</v>
      </c>
      <c r="G48" s="9">
        <f t="shared" ref="G48:G76" si="6">MAX(0.05, $B$5 * EXP(-LN(2) * MAX(0, F48 - $B$15) / 0.1))</f>
        <v>0.05</v>
      </c>
      <c r="H48" s="10">
        <f t="shared" ref="H48:H76" si="7">1-G48</f>
        <v>0.95</v>
      </c>
      <c r="I48" s="5">
        <f t="shared" ref="I48:I76" si="8">C48*G48</f>
        <v>543266.29879942141</v>
      </c>
      <c r="J48" s="7">
        <f t="shared" ref="J48:J76" si="9">C48*H48</f>
        <v>10322059.677189006</v>
      </c>
      <c r="K48" s="8">
        <f t="shared" ref="K48:K76" si="10">- ((I48+T48)/$W48 - MAX(0.05, $B$5 * EXP(-LN(2) * MAX(0, (($D48+$V48)/($B48+$T48+$U48+$V48-$S48)) - $B$15) / 0.1)))</f>
        <v>-9.8494969571184532E-3</v>
      </c>
      <c r="L48" s="8">
        <f t="shared" ref="L48:L76" si="11">- ((J48+U48)/$W48 - (1 - MAX(0.05, $B$5 * EXP(-LN(2) * MAX(0, (($D48+$V48)/($B48+$T48+$U48+$V48-$S48)) - $B$15) / 0.1))))</f>
        <v>9.8494969571184532E-3</v>
      </c>
      <c r="M48" s="4">
        <f t="shared" ref="M48:M76" si="12">IF(OR($A48=1, MOD($A48,7)=1), I48, (M47 * MIN(1, 1+(K48/G48))) + ($C48)*(MAX((K48),0))) - G48*$S48</f>
        <v>285551.42509506643</v>
      </c>
      <c r="N48" s="4">
        <f t="shared" ref="N48:N76" si="13">IF(OR($A48=1, MOD($A48,7)=1), J48, (N47 * MIN(1, 1+(L48/H48))) + ($C48)*(MAX((L48),0))) - H48*$S48</f>
        <v>7140328.3700837353</v>
      </c>
      <c r="O48" s="149">
        <f t="shared" ref="O48:O76" si="14">(I48+T48) - M48 - (G48*$S48)</f>
        <v>321527.82319824694</v>
      </c>
      <c r="P48" s="149">
        <f t="shared" ref="P48:P76" si="15">(J48+U48) - N48 - (H48*$S48)</f>
        <v>2200496.2486468432</v>
      </c>
      <c r="Q48" s="152">
        <f t="shared" ref="Q48:Q76" si="16">IF(MOD($A48,7)=0,O48, MAX(0,(-K48 + S48/(I48+T48))*O48))</f>
        <v>576335.36793084908</v>
      </c>
      <c r="R48" s="152">
        <f t="shared" ref="R48:R76" si="17">IF(MOD($A48,7)=0,P48, MAX(0,(-L48 + T48/(J48+U48))*P48))</f>
        <v>4224.3315133792139</v>
      </c>
      <c r="S48" s="140">
        <f t="shared" ref="S48:S76" si="18">$B$11*B48</f>
        <v>1188101.9025750931</v>
      </c>
      <c r="T48" s="134">
        <f t="shared" ref="T48:U48" si="19">I48*G4</f>
        <v>123218.04462264664</v>
      </c>
      <c r="U48" s="134">
        <f t="shared" si="19"/>
        <v>147461.74898791136</v>
      </c>
      <c r="V48" s="134">
        <f t="shared" ref="V48:V76" si="20">D48*F4</f>
        <v>3918990.2062032032</v>
      </c>
      <c r="W48" s="5">
        <f t="shared" ref="W48:W76" si="21">C48+U48+T48</f>
        <v>11136005.769598985</v>
      </c>
      <c r="X48" s="140">
        <f t="shared" ref="X48:X76" si="22">MAX(0, 0.15 * (IF(R48=0,-ABS(U48*L48),R48)+IF(Q48=0,-ABS(T48*K48),Q48)+ IF(MOD(A48,7)=0,SUM(V42:V48),0)))</f>
        <v>87083.954916634248</v>
      </c>
      <c r="Y48" s="141">
        <f t="shared" ref="Y48:Y76" si="23">B48+U48+T48+V48-X48-S48</f>
        <v>26676522.193823896</v>
      </c>
      <c r="Z48" s="12">
        <f t="shared" ref="Z48:Z76" si="24">(Y48-$B$16)/$B$16</f>
        <v>0.33382610969119481</v>
      </c>
      <c r="AA48" s="8">
        <f>(Y48 - MAX($Y$47:Y48))/Y48</f>
        <v>0</v>
      </c>
    </row>
    <row r="49" spans="1:27" x14ac:dyDescent="0.3">
      <c r="A49">
        <v>3</v>
      </c>
      <c r="B49" s="4">
        <f t="shared" si="1"/>
        <v>26676522.193823896</v>
      </c>
      <c r="C49" s="4">
        <f t="shared" si="2"/>
        <v>9860819.9121072572</v>
      </c>
      <c r="D49" s="4">
        <f t="shared" si="3"/>
        <v>16815702.281716637</v>
      </c>
      <c r="E49" s="8">
        <f t="shared" si="4"/>
        <v>0.36964413278692743</v>
      </c>
      <c r="F49" s="8">
        <f t="shared" si="5"/>
        <v>0.63035586721307246</v>
      </c>
      <c r="G49" s="9">
        <f t="shared" si="6"/>
        <v>0.05</v>
      </c>
      <c r="H49" s="10">
        <f t="shared" si="7"/>
        <v>0.95</v>
      </c>
      <c r="I49" s="5">
        <f t="shared" si="8"/>
        <v>493040.99560536287</v>
      </c>
      <c r="J49" s="7">
        <f t="shared" si="9"/>
        <v>9367778.9165018946</v>
      </c>
      <c r="K49" s="8">
        <f t="shared" si="10"/>
        <v>-9.9040595561225159E-3</v>
      </c>
      <c r="L49" s="8">
        <f t="shared" si="11"/>
        <v>9.904059556122391E-3</v>
      </c>
      <c r="M49" s="4">
        <f t="shared" si="12"/>
        <v>162297.75320096279</v>
      </c>
      <c r="N49" s="4">
        <f t="shared" si="13"/>
        <v>5970855.713558808</v>
      </c>
      <c r="O49" s="149">
        <f t="shared" si="14"/>
        <v>427266.51776383724</v>
      </c>
      <c r="P49" s="149">
        <f t="shared" si="15"/>
        <v>3060864.1489320984</v>
      </c>
      <c r="Q49" s="152">
        <f t="shared" si="16"/>
        <v>872642.17900860589</v>
      </c>
      <c r="R49" s="152">
        <f t="shared" si="17"/>
        <v>18193.098496849849</v>
      </c>
      <c r="S49" s="140">
        <f t="shared" si="18"/>
        <v>1333826.109691195</v>
      </c>
      <c r="T49" s="134">
        <f t="shared" ref="T49:U49" si="25">I49*G5</f>
        <v>163214.58084399684</v>
      </c>
      <c r="U49" s="134">
        <f t="shared" si="25"/>
        <v>931075.75019564631</v>
      </c>
      <c r="V49" s="134">
        <f t="shared" si="20"/>
        <v>4828351.1813696334</v>
      </c>
      <c r="W49" s="5">
        <f t="shared" si="21"/>
        <v>10955110.2431469</v>
      </c>
      <c r="X49" s="140">
        <f t="shared" si="22"/>
        <v>133625.29162581835</v>
      </c>
      <c r="Y49" s="141">
        <f t="shared" si="23"/>
        <v>31131712.304916155</v>
      </c>
      <c r="Z49" s="12">
        <f t="shared" si="24"/>
        <v>0.55658561524580774</v>
      </c>
      <c r="AA49" s="8">
        <f>(Y49 - MAX($Y$47:Y49))/Y49</f>
        <v>0</v>
      </c>
    </row>
    <row r="50" spans="1:27" x14ac:dyDescent="0.3">
      <c r="A50">
        <v>4</v>
      </c>
      <c r="B50" s="4">
        <f t="shared" si="1"/>
        <v>31131712.304916155</v>
      </c>
      <c r="C50" s="4">
        <f t="shared" si="2"/>
        <v>9487658.8418298885</v>
      </c>
      <c r="D50" s="4">
        <f t="shared" si="3"/>
        <v>21644053.46308627</v>
      </c>
      <c r="E50" s="8">
        <f t="shared" si="4"/>
        <v>0.30475865731072066</v>
      </c>
      <c r="F50" s="8">
        <f t="shared" si="5"/>
        <v>0.6952413426892794</v>
      </c>
      <c r="G50" s="9">
        <f t="shared" si="6"/>
        <v>0.05</v>
      </c>
      <c r="H50" s="10">
        <f t="shared" si="7"/>
        <v>0.95</v>
      </c>
      <c r="I50" s="5">
        <f t="shared" si="8"/>
        <v>474382.94209149445</v>
      </c>
      <c r="J50" s="7">
        <f t="shared" si="9"/>
        <v>9013275.8997383937</v>
      </c>
      <c r="K50" s="8">
        <f t="shared" si="10"/>
        <v>-5.5132132158471486E-3</v>
      </c>
      <c r="L50" s="8">
        <f t="shared" si="11"/>
        <v>5.5132132158470792E-3</v>
      </c>
      <c r="M50" s="4">
        <f t="shared" si="12"/>
        <v>66572.830081675478</v>
      </c>
      <c r="N50" s="4">
        <f t="shared" si="13"/>
        <v>4544406.865189516</v>
      </c>
      <c r="O50" s="149">
        <f t="shared" si="14"/>
        <v>464411.24773832242</v>
      </c>
      <c r="P50" s="149">
        <f t="shared" si="15"/>
        <v>4335022.527441497</v>
      </c>
      <c r="Q50" s="152">
        <f t="shared" si="16"/>
        <v>1189945.4278068128</v>
      </c>
      <c r="R50" s="152">
        <f t="shared" si="17"/>
        <v>32360.80656300229</v>
      </c>
      <c r="S50" s="140">
        <f t="shared" si="18"/>
        <v>1556585.6152458079</v>
      </c>
      <c r="T50" s="134">
        <f t="shared" ref="T50:U50" si="26">I50*G6</f>
        <v>134430.41649079378</v>
      </c>
      <c r="U50" s="134">
        <f t="shared" si="26"/>
        <v>1344909.8273761373</v>
      </c>
      <c r="V50" s="134">
        <f t="shared" si="20"/>
        <v>3639751.5469745914</v>
      </c>
      <c r="W50" s="5">
        <f t="shared" si="21"/>
        <v>10966999.085696818</v>
      </c>
      <c r="X50" s="140">
        <f t="shared" si="22"/>
        <v>183345.93515547225</v>
      </c>
      <c r="Y50" s="141">
        <f t="shared" si="23"/>
        <v>34510872.545356393</v>
      </c>
      <c r="Z50" s="12">
        <f t="shared" si="24"/>
        <v>0.72554362726781962</v>
      </c>
      <c r="AA50" s="8">
        <f>(Y50 - MAX($Y$47:Y50))/Y50</f>
        <v>0</v>
      </c>
    </row>
    <row r="51" spans="1:27" x14ac:dyDescent="0.3">
      <c r="A51">
        <v>5</v>
      </c>
      <c r="B51" s="4">
        <f t="shared" si="1"/>
        <v>34510872.545356393</v>
      </c>
      <c r="C51" s="4">
        <f t="shared" si="2"/>
        <v>9227067.5352955386</v>
      </c>
      <c r="D51" s="4">
        <f t="shared" si="3"/>
        <v>25283805.010060862</v>
      </c>
      <c r="E51" s="8">
        <f t="shared" si="4"/>
        <v>0.26736697321021763</v>
      </c>
      <c r="F51" s="8">
        <f t="shared" si="5"/>
        <v>0.73263302678978259</v>
      </c>
      <c r="G51" s="9">
        <f t="shared" si="6"/>
        <v>0.05</v>
      </c>
      <c r="H51" s="10">
        <f t="shared" si="7"/>
        <v>0.95</v>
      </c>
      <c r="I51" s="5">
        <f t="shared" si="8"/>
        <v>461353.37676477694</v>
      </c>
      <c r="J51" s="7">
        <f t="shared" si="9"/>
        <v>8765714.1585307606</v>
      </c>
      <c r="K51" s="8">
        <f t="shared" si="10"/>
        <v>-1.4850733208661898E-2</v>
      </c>
      <c r="L51" s="8">
        <f t="shared" si="11"/>
        <v>1.4850733208662037E-2</v>
      </c>
      <c r="M51" s="4">
        <f t="shared" si="12"/>
        <v>-39477.458051486392</v>
      </c>
      <c r="N51" s="4">
        <f t="shared" si="13"/>
        <v>3042169.1375500681</v>
      </c>
      <c r="O51" s="149">
        <f t="shared" si="14"/>
        <v>510908.92550402996</v>
      </c>
      <c r="P51" s="149">
        <f t="shared" si="15"/>
        <v>3360737.7000042079</v>
      </c>
      <c r="Q51" s="152">
        <f t="shared" si="16"/>
        <v>1588333.23719536</v>
      </c>
      <c r="R51" s="152">
        <f t="shared" si="17"/>
        <v>0</v>
      </c>
      <c r="S51" s="140">
        <f t="shared" si="18"/>
        <v>1725543.6272678198</v>
      </c>
      <c r="T51" s="134">
        <f t="shared" ref="T51:U51" si="27">I51*G7</f>
        <v>96355.272051157575</v>
      </c>
      <c r="U51" s="134">
        <f t="shared" si="27"/>
        <v>-723540.8750720555</v>
      </c>
      <c r="V51" s="134">
        <f t="shared" si="20"/>
        <v>9764888.6185160726</v>
      </c>
      <c r="W51" s="5">
        <f t="shared" si="21"/>
        <v>8599881.9322746415</v>
      </c>
      <c r="X51" s="140">
        <f t="shared" si="22"/>
        <v>236638.21870411545</v>
      </c>
      <c r="Y51" s="141">
        <f t="shared" si="23"/>
        <v>41686393.714879632</v>
      </c>
      <c r="Z51" s="12">
        <f t="shared" si="24"/>
        <v>1.0843196857439816</v>
      </c>
      <c r="AA51" s="8">
        <f>(Y51 - MAX($Y$47:Y51))/Y51</f>
        <v>0</v>
      </c>
    </row>
    <row r="52" spans="1:27" x14ac:dyDescent="0.3">
      <c r="A52">
        <v>6</v>
      </c>
      <c r="B52" s="4">
        <f t="shared" si="1"/>
        <v>41686393.714879632</v>
      </c>
      <c r="C52" s="4">
        <f t="shared" si="2"/>
        <v>6637700.0863027042</v>
      </c>
      <c r="D52" s="4">
        <f t="shared" si="3"/>
        <v>35048693.628576934</v>
      </c>
      <c r="E52" s="8">
        <f t="shared" si="4"/>
        <v>0.1592294150389274</v>
      </c>
      <c r="F52" s="8">
        <f t="shared" si="5"/>
        <v>0.84077058496107271</v>
      </c>
      <c r="G52" s="9">
        <f t="shared" si="6"/>
        <v>0.05</v>
      </c>
      <c r="H52" s="10">
        <f t="shared" si="7"/>
        <v>0.95</v>
      </c>
      <c r="I52" s="5">
        <f t="shared" si="8"/>
        <v>331885.00431513524</v>
      </c>
      <c r="J52" s="7">
        <f t="shared" si="9"/>
        <v>6305815.0819875691</v>
      </c>
      <c r="K52" s="8">
        <f t="shared" si="10"/>
        <v>1.0575773034923651E-2</v>
      </c>
      <c r="L52" s="8">
        <f t="shared" si="11"/>
        <v>-1.0575773034923741E-2</v>
      </c>
      <c r="M52" s="4">
        <f t="shared" si="12"/>
        <v>-73494.632752054968</v>
      </c>
      <c r="N52" s="4">
        <f t="shared" si="13"/>
        <v>1028198.8146905706</v>
      </c>
      <c r="O52" s="149">
        <f t="shared" si="14"/>
        <v>271188.40005062683</v>
      </c>
      <c r="P52" s="149">
        <f t="shared" si="15"/>
        <v>4347762.9121788489</v>
      </c>
      <c r="Q52" s="152">
        <f t="shared" si="16"/>
        <v>1869358.0863053235</v>
      </c>
      <c r="R52" s="152">
        <f t="shared" si="17"/>
        <v>28264.241843208605</v>
      </c>
      <c r="S52" s="140">
        <f t="shared" si="18"/>
        <v>2084319.6857439817</v>
      </c>
      <c r="T52" s="134">
        <f t="shared" ref="T52:U52" si="28">I52*G8</f>
        <v>-29975.252729364271</v>
      </c>
      <c r="U52" s="134">
        <f t="shared" si="28"/>
        <v>1050250.3463386323</v>
      </c>
      <c r="V52" s="134">
        <f t="shared" si="20"/>
        <v>1560696.6535060711</v>
      </c>
      <c r="W52" s="5">
        <f t="shared" si="21"/>
        <v>7657975.179911972</v>
      </c>
      <c r="X52" s="140">
        <f t="shared" si="22"/>
        <v>284643.34922227979</v>
      </c>
      <c r="Y52" s="141">
        <f t="shared" si="23"/>
        <v>41898402.427028708</v>
      </c>
      <c r="Z52" s="12">
        <f t="shared" si="24"/>
        <v>1.0949201213514355</v>
      </c>
      <c r="AA52" s="8">
        <f>(Y52 - MAX($Y$47:Y52))/Y52</f>
        <v>0</v>
      </c>
    </row>
    <row r="53" spans="1:27" x14ac:dyDescent="0.3">
      <c r="A53">
        <v>7</v>
      </c>
      <c r="B53" s="4">
        <f t="shared" si="1"/>
        <v>41898402.427028708</v>
      </c>
      <c r="C53" s="4">
        <f t="shared" si="2"/>
        <v>5289012.1449457109</v>
      </c>
      <c r="D53" s="4">
        <f t="shared" si="3"/>
        <v>36609390.282083005</v>
      </c>
      <c r="E53" s="8">
        <f t="shared" si="4"/>
        <v>0.12623421988838798</v>
      </c>
      <c r="F53" s="8">
        <f t="shared" si="5"/>
        <v>0.87376578011161221</v>
      </c>
      <c r="G53" s="9">
        <f t="shared" si="6"/>
        <v>0.05</v>
      </c>
      <c r="H53" s="10">
        <f t="shared" si="7"/>
        <v>0.95</v>
      </c>
      <c r="I53" s="5">
        <f t="shared" si="8"/>
        <v>264450.60724728554</v>
      </c>
      <c r="J53" s="7">
        <f t="shared" si="9"/>
        <v>5024561.5376984254</v>
      </c>
      <c r="K53" s="8">
        <f t="shared" si="10"/>
        <v>7.9038547907436946E-3</v>
      </c>
      <c r="L53" s="8">
        <f t="shared" si="11"/>
        <v>-7.9038547907437362E-3</v>
      </c>
      <c r="M53" s="4">
        <f t="shared" si="12"/>
        <v>-136437.05483949601</v>
      </c>
      <c r="N53" s="4">
        <f t="shared" si="13"/>
        <v>-970529.75756942888</v>
      </c>
      <c r="O53" s="149">
        <f t="shared" si="14"/>
        <v>264804.89601084951</v>
      </c>
      <c r="P53" s="149">
        <f t="shared" si="15"/>
        <v>4284894.8528298754</v>
      </c>
      <c r="Q53" s="152">
        <f t="shared" si="16"/>
        <v>264804.89601084951</v>
      </c>
      <c r="R53" s="152">
        <f t="shared" si="17"/>
        <v>4284894.8528298754</v>
      </c>
      <c r="S53" s="140">
        <f t="shared" si="18"/>
        <v>2094920.1213514355</v>
      </c>
      <c r="T53" s="134">
        <f t="shared" ref="T53:U53" si="29">I53*G9</f>
        <v>-31336.760008360223</v>
      </c>
      <c r="U53" s="134">
        <f t="shared" si="29"/>
        <v>279977.67284588481</v>
      </c>
      <c r="V53" s="134">
        <f>D53*F9</f>
        <v>-4155517.1552344877</v>
      </c>
      <c r="W53" s="5">
        <f t="shared" si="21"/>
        <v>5537653.0577832358</v>
      </c>
      <c r="X53" s="140">
        <f t="shared" si="22"/>
        <v>3989273.9075204618</v>
      </c>
      <c r="Y53" s="141">
        <f t="shared" si="23"/>
        <v>31907332.155759856</v>
      </c>
      <c r="Z53" s="12">
        <f t="shared" si="24"/>
        <v>0.59536660778799277</v>
      </c>
      <c r="AA53" s="8">
        <f>(Y53 - MAX($Y$47:Y53))/Y53</f>
        <v>-0.31312772319842108</v>
      </c>
    </row>
    <row r="54" spans="1:27" x14ac:dyDescent="0.3">
      <c r="A54">
        <v>8</v>
      </c>
      <c r="B54" s="4">
        <f t="shared" si="1"/>
        <v>31907332.155759856</v>
      </c>
      <c r="C54" s="4">
        <f t="shared" si="2"/>
        <v>15302096.830222858</v>
      </c>
      <c r="D54" s="4">
        <f t="shared" si="3"/>
        <v>16605235.325536998</v>
      </c>
      <c r="E54" s="8">
        <f t="shared" si="4"/>
        <v>0.47957932538902504</v>
      </c>
      <c r="F54" s="8">
        <f t="shared" si="5"/>
        <v>0.52042067461097496</v>
      </c>
      <c r="G54" s="9">
        <f t="shared" si="6"/>
        <v>0.05</v>
      </c>
      <c r="H54" s="10">
        <f t="shared" si="7"/>
        <v>0.95</v>
      </c>
      <c r="I54" s="5">
        <f t="shared" si="8"/>
        <v>765104.84151114291</v>
      </c>
      <c r="J54" s="7">
        <f t="shared" si="9"/>
        <v>14536991.988711715</v>
      </c>
      <c r="K54" s="8">
        <f t="shared" si="10"/>
        <v>1.648219849958505E-2</v>
      </c>
      <c r="L54" s="8">
        <f t="shared" si="11"/>
        <v>-1.6482198499585099E-2</v>
      </c>
      <c r="M54" s="4">
        <f t="shared" si="12"/>
        <v>685336.51112174324</v>
      </c>
      <c r="N54" s="4">
        <f t="shared" si="13"/>
        <v>13021393.711313121</v>
      </c>
      <c r="O54" s="149">
        <f t="shared" si="14"/>
        <v>-168063.29641464958</v>
      </c>
      <c r="P54" s="149">
        <f t="shared" si="15"/>
        <v>2197469.9119473351</v>
      </c>
      <c r="Q54" s="152">
        <f t="shared" si="16"/>
        <v>0</v>
      </c>
      <c r="R54" s="152">
        <f t="shared" si="17"/>
        <v>14150.06372736606</v>
      </c>
      <c r="S54" s="140">
        <f t="shared" si="18"/>
        <v>1595366.6077879928</v>
      </c>
      <c r="T54" s="134">
        <f t="shared" ref="T54:U54" si="30">I54*G10</f>
        <v>-168063.29641464961</v>
      </c>
      <c r="U54" s="134">
        <f t="shared" si="30"/>
        <v>2197469.9119473342</v>
      </c>
      <c r="V54" s="134">
        <f t="shared" si="20"/>
        <v>-656437.28003276908</v>
      </c>
      <c r="W54" s="5">
        <f t="shared" si="21"/>
        <v>17331503.445755541</v>
      </c>
      <c r="X54" s="140">
        <f t="shared" si="22"/>
        <v>1707.0016673047805</v>
      </c>
      <c r="Y54" s="141">
        <f t="shared" si="23"/>
        <v>31683227.88180447</v>
      </c>
      <c r="Z54" s="12">
        <f t="shared" si="24"/>
        <v>0.5841613940902235</v>
      </c>
      <c r="AA54" s="8">
        <f>(Y54 - MAX($Y$47:Y54))/Y54</f>
        <v>-0.32241584043558785</v>
      </c>
    </row>
    <row r="55" spans="1:27" x14ac:dyDescent="0.3">
      <c r="A55">
        <v>9</v>
      </c>
      <c r="B55" s="4">
        <f t="shared" si="1"/>
        <v>31683227.88180447</v>
      </c>
      <c r="C55" s="4">
        <f t="shared" si="2"/>
        <v>15734429.836300243</v>
      </c>
      <c r="D55" s="4">
        <f t="shared" si="3"/>
        <v>15948798.045504229</v>
      </c>
      <c r="E55" s="8">
        <f t="shared" si="4"/>
        <v>0.49661700805859027</v>
      </c>
      <c r="F55" s="8">
        <f t="shared" si="5"/>
        <v>0.50338299194140979</v>
      </c>
      <c r="G55" s="9">
        <f t="shared" si="6"/>
        <v>5.0920966871469311E-2</v>
      </c>
      <c r="H55" s="10">
        <f t="shared" si="7"/>
        <v>0.9490790331285307</v>
      </c>
      <c r="I55" s="5">
        <f t="shared" si="8"/>
        <v>801212.38043570297</v>
      </c>
      <c r="J55" s="7">
        <f t="shared" si="9"/>
        <v>14933217.455864539</v>
      </c>
      <c r="K55" s="8">
        <f t="shared" si="10"/>
        <v>-1.4204265881961123E-2</v>
      </c>
      <c r="L55" s="8">
        <f t="shared" si="11"/>
        <v>1.4204265881961109E-2</v>
      </c>
      <c r="M55" s="4">
        <f t="shared" si="12"/>
        <v>413496.71646440949</v>
      </c>
      <c r="N55" s="4">
        <f t="shared" si="13"/>
        <v>11741395.371986298</v>
      </c>
      <c r="O55" s="149">
        <f t="shared" si="14"/>
        <v>534238.81467603974</v>
      </c>
      <c r="P55" s="149">
        <f t="shared" si="15"/>
        <v>1744374.8605803861</v>
      </c>
      <c r="Q55" s="152">
        <f t="shared" si="16"/>
        <v>830535.18142950942</v>
      </c>
      <c r="R55" s="152">
        <f t="shared" si="17"/>
        <v>1661.6807169756771</v>
      </c>
      <c r="S55" s="140">
        <f t="shared" si="18"/>
        <v>1584161.3940902236</v>
      </c>
      <c r="T55" s="134">
        <f t="shared" ref="T55:U55" si="31">I55*G11</f>
        <v>227190.18057227525</v>
      </c>
      <c r="U55" s="134">
        <f t="shared" si="31"/>
        <v>56047.140924839507</v>
      </c>
      <c r="V55" s="134">
        <f t="shared" si="20"/>
        <v>3853580.9576667659</v>
      </c>
      <c r="W55" s="5">
        <f t="shared" si="21"/>
        <v>16017667.157797357</v>
      </c>
      <c r="X55" s="140">
        <f t="shared" si="22"/>
        <v>124829.52932197276</v>
      </c>
      <c r="Y55" s="141">
        <f t="shared" si="23"/>
        <v>34111055.237556152</v>
      </c>
      <c r="Z55" s="12">
        <f t="shared" si="24"/>
        <v>0.70555276187780758</v>
      </c>
      <c r="AA55" s="8">
        <f>(Y55 - MAX($Y$47:Y55))/Y55</f>
        <v>-0.22829393975765119</v>
      </c>
    </row>
    <row r="56" spans="1:27" x14ac:dyDescent="0.3">
      <c r="A56">
        <v>10</v>
      </c>
      <c r="B56" s="4">
        <f t="shared" si="1"/>
        <v>34111055.237556152</v>
      </c>
      <c r="C56" s="4">
        <f t="shared" si="2"/>
        <v>14308676.234385161</v>
      </c>
      <c r="D56" s="4">
        <f t="shared" si="3"/>
        <v>19802379.003170997</v>
      </c>
      <c r="E56" s="8">
        <f t="shared" si="4"/>
        <v>0.41947328028220476</v>
      </c>
      <c r="F56" s="8">
        <f t="shared" si="5"/>
        <v>0.58052671971779535</v>
      </c>
      <c r="G56" s="9">
        <f t="shared" si="6"/>
        <v>0.05</v>
      </c>
      <c r="H56" s="10">
        <f t="shared" si="7"/>
        <v>0.95</v>
      </c>
      <c r="I56" s="5">
        <f t="shared" si="8"/>
        <v>715433.81171925808</v>
      </c>
      <c r="J56" s="7">
        <f t="shared" si="9"/>
        <v>13593242.422665901</v>
      </c>
      <c r="K56" s="8">
        <f t="shared" si="10"/>
        <v>-2.8336361030555715E-3</v>
      </c>
      <c r="L56" s="8">
        <f t="shared" si="11"/>
        <v>2.8336361030556478E-3</v>
      </c>
      <c r="M56" s="4">
        <f t="shared" si="12"/>
        <v>304785.09388514946</v>
      </c>
      <c r="N56" s="4">
        <f t="shared" si="13"/>
        <v>10161665.829767069</v>
      </c>
      <c r="O56" s="149">
        <f t="shared" si="14"/>
        <v>402228.53116152517</v>
      </c>
      <c r="P56" s="149">
        <f t="shared" si="15"/>
        <v>2421730.9912002431</v>
      </c>
      <c r="Q56" s="152">
        <f t="shared" si="16"/>
        <v>867010.71112943219</v>
      </c>
      <c r="R56" s="152">
        <f t="shared" si="17"/>
        <v>6241.9177463781007</v>
      </c>
      <c r="S56" s="140">
        <f t="shared" si="18"/>
        <v>1705552.7618778078</v>
      </c>
      <c r="T56" s="134">
        <f t="shared" ref="T56:U56" si="32">I56*G12</f>
        <v>76857.451421306905</v>
      </c>
      <c r="U56" s="134">
        <f t="shared" si="32"/>
        <v>610429.52208532742</v>
      </c>
      <c r="V56" s="134">
        <f t="shared" si="20"/>
        <v>5649200.7101246957</v>
      </c>
      <c r="W56" s="5">
        <f t="shared" si="21"/>
        <v>14995963.207891796</v>
      </c>
      <c r="X56" s="140">
        <f t="shared" si="22"/>
        <v>130987.89433137154</v>
      </c>
      <c r="Y56" s="141">
        <f t="shared" si="23"/>
        <v>38611002.264978297</v>
      </c>
      <c r="Z56" s="12">
        <f t="shared" si="24"/>
        <v>0.9305501132489149</v>
      </c>
      <c r="AA56" s="8">
        <f>(Y56 - MAX($Y$47:Y56))/Y56</f>
        <v>-8.5141539178127293E-2</v>
      </c>
    </row>
    <row r="57" spans="1:27" x14ac:dyDescent="0.3">
      <c r="A57">
        <v>11</v>
      </c>
      <c r="B57" s="4">
        <f t="shared" si="1"/>
        <v>38611002.264978297</v>
      </c>
      <c r="C57" s="4">
        <f t="shared" si="2"/>
        <v>13159422.551682614</v>
      </c>
      <c r="D57" s="4">
        <f t="shared" si="3"/>
        <v>25451579.713295691</v>
      </c>
      <c r="E57" s="8">
        <f t="shared" si="4"/>
        <v>0.34082053766365783</v>
      </c>
      <c r="F57" s="8">
        <f t="shared" si="5"/>
        <v>0.65917946233634239</v>
      </c>
      <c r="G57" s="9">
        <f t="shared" si="6"/>
        <v>0.05</v>
      </c>
      <c r="H57" s="10">
        <f t="shared" si="7"/>
        <v>0.95</v>
      </c>
      <c r="I57" s="5">
        <f t="shared" si="8"/>
        <v>657971.12758413074</v>
      </c>
      <c r="J57" s="7">
        <f t="shared" si="9"/>
        <v>12501451.424098482</v>
      </c>
      <c r="K57" s="8">
        <f t="shared" si="10"/>
        <v>-9.0738666629443243E-4</v>
      </c>
      <c r="L57" s="8">
        <f t="shared" si="11"/>
        <v>9.0738666629452958E-4</v>
      </c>
      <c r="M57" s="4">
        <f t="shared" si="12"/>
        <v>202726.42961717013</v>
      </c>
      <c r="N57" s="4">
        <f t="shared" si="13"/>
        <v>8339583.9067401309</v>
      </c>
      <c r="O57" s="149">
        <f t="shared" si="14"/>
        <v>390526.6585771683</v>
      </c>
      <c r="P57" s="149">
        <f t="shared" si="15"/>
        <v>2686328.1498085358</v>
      </c>
      <c r="Q57" s="152">
        <f t="shared" si="16"/>
        <v>1093355.9473871428</v>
      </c>
      <c r="R57" s="152">
        <f t="shared" si="17"/>
        <v>4207.1816258007084</v>
      </c>
      <c r="S57" s="140">
        <f t="shared" si="18"/>
        <v>1930550.1132489149</v>
      </c>
      <c r="T57" s="134">
        <f t="shared" ref="T57:U57" si="33">I57*G13</f>
        <v>31809.46627265343</v>
      </c>
      <c r="U57" s="134">
        <f t="shared" si="33"/>
        <v>358483.24003665394</v>
      </c>
      <c r="V57" s="134">
        <f t="shared" si="20"/>
        <v>6763844.5172326621</v>
      </c>
      <c r="W57" s="5">
        <f t="shared" si="21"/>
        <v>13549715.257991921</v>
      </c>
      <c r="X57" s="140">
        <f t="shared" si="22"/>
        <v>164634.46935194152</v>
      </c>
      <c r="Y57" s="141">
        <f t="shared" si="23"/>
        <v>43669954.90591941</v>
      </c>
      <c r="Z57" s="12">
        <f t="shared" si="24"/>
        <v>1.1834977452959705</v>
      </c>
      <c r="AA57" s="8">
        <f>(Y57 - MAX($Y$47:Y57))/Y57</f>
        <v>0</v>
      </c>
    </row>
    <row r="58" spans="1:27" x14ac:dyDescent="0.3">
      <c r="A58">
        <v>12</v>
      </c>
      <c r="B58" s="4">
        <f t="shared" si="1"/>
        <v>43669954.90591941</v>
      </c>
      <c r="C58" s="4">
        <f t="shared" si="2"/>
        <v>11454530.675391063</v>
      </c>
      <c r="D58" s="4">
        <f t="shared" si="3"/>
        <v>32215424.230528355</v>
      </c>
      <c r="E58" s="8">
        <f t="shared" si="4"/>
        <v>0.26229774452637267</v>
      </c>
      <c r="F58" s="8">
        <f t="shared" si="5"/>
        <v>0.73770225547362756</v>
      </c>
      <c r="G58" s="9">
        <f t="shared" si="6"/>
        <v>0.05</v>
      </c>
      <c r="H58" s="10">
        <f t="shared" si="7"/>
        <v>0.95</v>
      </c>
      <c r="I58" s="5">
        <f t="shared" si="8"/>
        <v>572726.53376955318</v>
      </c>
      <c r="J58" s="7">
        <f t="shared" si="9"/>
        <v>10881804.14162151</v>
      </c>
      <c r="K58" s="8">
        <f t="shared" si="10"/>
        <v>-6.3174818225821203E-3</v>
      </c>
      <c r="L58" s="8">
        <f t="shared" si="11"/>
        <v>6.3174818225820717E-3</v>
      </c>
      <c r="M58" s="4">
        <f t="shared" si="12"/>
        <v>67937.131671102659</v>
      </c>
      <c r="N58" s="4">
        <f t="shared" si="13"/>
        <v>6337624.8380369507</v>
      </c>
      <c r="O58" s="149">
        <f t="shared" si="14"/>
        <v>485031.77698134852</v>
      </c>
      <c r="P58" s="149">
        <f t="shared" si="15"/>
        <v>2683248.7598961312</v>
      </c>
      <c r="Q58" s="152">
        <f t="shared" si="16"/>
        <v>1602514.0239634325</v>
      </c>
      <c r="R58" s="152">
        <f t="shared" si="17"/>
        <v>4673.1862027536899</v>
      </c>
      <c r="S58" s="140">
        <f t="shared" si="18"/>
        <v>2183497.7452959707</v>
      </c>
      <c r="T58" s="134">
        <f t="shared" ref="T58:U58" si="34">I58*G14</f>
        <v>89417.262147696616</v>
      </c>
      <c r="U58" s="134">
        <f t="shared" si="34"/>
        <v>213392.31434274488</v>
      </c>
      <c r="V58" s="134">
        <f t="shared" si="20"/>
        <v>12211633.711532257</v>
      </c>
      <c r="W58" s="5">
        <f t="shared" si="21"/>
        <v>11757340.251881504</v>
      </c>
      <c r="X58" s="140">
        <f t="shared" si="22"/>
        <v>241078.08152492793</v>
      </c>
      <c r="Y58" s="141">
        <f t="shared" si="23"/>
        <v>53759822.367121205</v>
      </c>
      <c r="Z58" s="12">
        <f t="shared" si="24"/>
        <v>1.6879911183560603</v>
      </c>
      <c r="AA58" s="8">
        <f>(Y58 - MAX($Y$47:Y58))/Y58</f>
        <v>0</v>
      </c>
    </row>
    <row r="59" spans="1:27" x14ac:dyDescent="0.3">
      <c r="A59">
        <v>13</v>
      </c>
      <c r="B59" s="4">
        <f t="shared" si="1"/>
        <v>53759822.367121205</v>
      </c>
      <c r="C59" s="4">
        <f t="shared" si="2"/>
        <v>9332764.4250606056</v>
      </c>
      <c r="D59" s="4">
        <f t="shared" si="3"/>
        <v>44427057.942060612</v>
      </c>
      <c r="E59" s="8">
        <f t="shared" si="4"/>
        <v>0.1736011023497801</v>
      </c>
      <c r="F59" s="8">
        <f t="shared" si="5"/>
        <v>0.82639889765022012</v>
      </c>
      <c r="G59" s="9">
        <f t="shared" si="6"/>
        <v>0.05</v>
      </c>
      <c r="H59" s="10">
        <f t="shared" si="7"/>
        <v>0.95</v>
      </c>
      <c r="I59" s="5">
        <f t="shared" si="8"/>
        <v>466638.22125303029</v>
      </c>
      <c r="J59" s="7">
        <f t="shared" si="9"/>
        <v>8866126.2038075756</v>
      </c>
      <c r="K59" s="8">
        <f t="shared" si="10"/>
        <v>2.0409101795167348E-3</v>
      </c>
      <c r="L59" s="8">
        <f t="shared" si="11"/>
        <v>-2.0409101795167972E-3</v>
      </c>
      <c r="M59" s="4">
        <f t="shared" si="12"/>
        <v>-47415.090328562525</v>
      </c>
      <c r="N59" s="4">
        <f t="shared" si="13"/>
        <v>3770417.9881819487</v>
      </c>
      <c r="O59" s="149">
        <f t="shared" si="14"/>
        <v>405247.62665813038</v>
      </c>
      <c r="P59" s="149">
        <f t="shared" si="15"/>
        <v>3447341.2168125324</v>
      </c>
      <c r="Q59" s="152">
        <f t="shared" si="16"/>
        <v>2212157.4882526249</v>
      </c>
      <c r="R59" s="152">
        <f t="shared" si="17"/>
        <v>16065.254167278477</v>
      </c>
      <c r="S59" s="140">
        <f t="shared" si="18"/>
        <v>2687991.1183560602</v>
      </c>
      <c r="T59" s="134">
        <f t="shared" ref="T59:U59" si="35">I59*G15</f>
        <v>25593.870994340552</v>
      </c>
      <c r="U59" s="134">
        <f t="shared" si="35"/>
        <v>905224.56362516165</v>
      </c>
      <c r="V59" s="134">
        <f t="shared" si="20"/>
        <v>11219263.157176165</v>
      </c>
      <c r="W59" s="5">
        <f t="shared" si="21"/>
        <v>10263582.859680109</v>
      </c>
      <c r="X59" s="140">
        <f t="shared" si="22"/>
        <v>334233.41136298544</v>
      </c>
      <c r="Y59" s="141">
        <f t="shared" si="23"/>
        <v>62887679.429197833</v>
      </c>
      <c r="Z59" s="12">
        <f t="shared" si="24"/>
        <v>2.1443839714598916</v>
      </c>
      <c r="AA59" s="8">
        <f>(Y59 - MAX($Y$47:Y59))/Y59</f>
        <v>0</v>
      </c>
    </row>
    <row r="60" spans="1:27" x14ac:dyDescent="0.3">
      <c r="A60">
        <v>14</v>
      </c>
      <c r="B60" s="4">
        <f t="shared" si="1"/>
        <v>62887679.429197833</v>
      </c>
      <c r="C60" s="4">
        <f t="shared" si="2"/>
        <v>7241358.3299610633</v>
      </c>
      <c r="D60" s="4">
        <f t="shared" si="3"/>
        <v>55646321.099236779</v>
      </c>
      <c r="E60" s="8">
        <f t="shared" si="4"/>
        <v>0.11514748827890453</v>
      </c>
      <c r="F60" s="8">
        <f t="shared" si="5"/>
        <v>0.88485251172109558</v>
      </c>
      <c r="G60" s="9">
        <f t="shared" si="6"/>
        <v>0.05</v>
      </c>
      <c r="H60" s="10">
        <f t="shared" si="7"/>
        <v>0.95</v>
      </c>
      <c r="I60" s="5">
        <f t="shared" si="8"/>
        <v>362067.91649805318</v>
      </c>
      <c r="J60" s="7">
        <f t="shared" si="9"/>
        <v>6879290.4134630095</v>
      </c>
      <c r="K60" s="8">
        <f t="shared" si="10"/>
        <v>2.2947721479571595E-2</v>
      </c>
      <c r="L60" s="8">
        <f t="shared" si="11"/>
        <v>-2.294772147957147E-2</v>
      </c>
      <c r="M60" s="4">
        <f t="shared" si="12"/>
        <v>-38461.614811834923</v>
      </c>
      <c r="N60" s="4">
        <f t="shared" si="13"/>
        <v>692176.89755361434</v>
      </c>
      <c r="O60" s="149">
        <f t="shared" si="14"/>
        <v>110966.02198010698</v>
      </c>
      <c r="P60" s="149">
        <f t="shared" si="15"/>
        <v>4582774.166022392</v>
      </c>
      <c r="Q60" s="152">
        <f t="shared" si="16"/>
        <v>110966.02198010698</v>
      </c>
      <c r="R60" s="152">
        <f t="shared" si="17"/>
        <v>4582774.166022392</v>
      </c>
      <c r="S60" s="140">
        <f t="shared" si="18"/>
        <v>3144383.9714598916</v>
      </c>
      <c r="T60" s="134">
        <f t="shared" ref="T60:U60" si="36">I60*G16</f>
        <v>-132344.31075678652</v>
      </c>
      <c r="U60" s="134">
        <f t="shared" si="36"/>
        <v>1382825.4229998938</v>
      </c>
      <c r="V60" s="134">
        <f t="shared" si="20"/>
        <v>-16119026.906976711</v>
      </c>
      <c r="W60" s="5">
        <f t="shared" si="21"/>
        <v>8491839.4422041718</v>
      </c>
      <c r="X60" s="140">
        <f t="shared" si="22"/>
        <v>4142369.8582088347</v>
      </c>
      <c r="Y60" s="141">
        <f t="shared" si="23"/>
        <v>40732379.804795504</v>
      </c>
      <c r="Z60" s="12">
        <f t="shared" si="24"/>
        <v>1.0366189902397751</v>
      </c>
      <c r="AA60" s="8">
        <f>(Y60 - MAX($Y$47:Y60))/Y60</f>
        <v>-0.54392352547478562</v>
      </c>
    </row>
    <row r="61" spans="1:27" x14ac:dyDescent="0.3">
      <c r="A61" s="157">
        <v>15</v>
      </c>
      <c r="B61" s="4">
        <f t="shared" si="1"/>
        <v>40732379.804795504</v>
      </c>
      <c r="C61" s="4">
        <f t="shared" si="2"/>
        <v>19534407.228273373</v>
      </c>
      <c r="D61" s="4">
        <f t="shared" si="3"/>
        <v>21197972.576522131</v>
      </c>
      <c r="E61" s="8">
        <f t="shared" si="4"/>
        <v>0.47957932538902498</v>
      </c>
      <c r="F61" s="8">
        <f t="shared" si="5"/>
        <v>0.52042067461097496</v>
      </c>
      <c r="G61" s="9">
        <f t="shared" si="6"/>
        <v>0.05</v>
      </c>
      <c r="H61" s="10">
        <f t="shared" si="7"/>
        <v>0.95</v>
      </c>
      <c r="I61" s="5">
        <f t="shared" si="8"/>
        <v>976720.36141366872</v>
      </c>
      <c r="J61" s="7">
        <f t="shared" si="9"/>
        <v>18557686.866859704</v>
      </c>
      <c r="K61" s="8">
        <f t="shared" si="10"/>
        <v>-1.9396585192132276E-2</v>
      </c>
      <c r="L61" s="8">
        <f t="shared" si="11"/>
        <v>1.9396585192132387E-2</v>
      </c>
      <c r="M61" s="4">
        <f t="shared" si="12"/>
        <v>874889.41190167994</v>
      </c>
      <c r="N61" s="4">
        <f t="shared" si="13"/>
        <v>16622898.826131918</v>
      </c>
      <c r="O61" s="149">
        <f t="shared" si="14"/>
        <v>253314.71006339986</v>
      </c>
      <c r="P61" s="149">
        <f t="shared" si="15"/>
        <v>-2063001.5061775034</v>
      </c>
      <c r="Q61" s="152">
        <f t="shared" si="16"/>
        <v>424336.88687645458</v>
      </c>
      <c r="R61" s="152">
        <f t="shared" si="17"/>
        <v>8332.9415514280536</v>
      </c>
      <c r="S61" s="140">
        <f t="shared" si="18"/>
        <v>2036618.9902397753</v>
      </c>
      <c r="T61" s="134">
        <f t="shared" ref="T61:U61" si="37">I61*G17</f>
        <v>253314.71006339989</v>
      </c>
      <c r="U61" s="134">
        <f t="shared" si="37"/>
        <v>-2063001.5061775036</v>
      </c>
      <c r="V61" s="134">
        <f t="shared" si="20"/>
        <v>3630616.5901503316</v>
      </c>
      <c r="W61" s="5">
        <f t="shared" si="21"/>
        <v>17724720.432159271</v>
      </c>
      <c r="X61" s="140">
        <f t="shared" si="22"/>
        <v>64900.47426418239</v>
      </c>
      <c r="Y61" s="141">
        <f t="shared" si="23"/>
        <v>40451790.134327777</v>
      </c>
      <c r="Z61" s="12">
        <f t="shared" si="24"/>
        <v>1.0225895067163888</v>
      </c>
      <c r="AA61" s="8">
        <f>(Y61 - MAX($Y$47:Y61))/Y61</f>
        <v>-0.55463279178418223</v>
      </c>
    </row>
    <row r="62" spans="1:27" x14ac:dyDescent="0.3">
      <c r="A62">
        <v>16</v>
      </c>
      <c r="B62" s="4">
        <f t="shared" si="1"/>
        <v>40451790.134327777</v>
      </c>
      <c r="C62" s="4">
        <f t="shared" si="2"/>
        <v>15623200.967655312</v>
      </c>
      <c r="D62" s="4">
        <f t="shared" si="3"/>
        <v>24828589.166672461</v>
      </c>
      <c r="E62" s="8">
        <f t="shared" si="4"/>
        <v>0.38621778951624974</v>
      </c>
      <c r="F62" s="8">
        <f t="shared" si="5"/>
        <v>0.61378221048375015</v>
      </c>
      <c r="G62" s="9">
        <f t="shared" si="6"/>
        <v>0.05</v>
      </c>
      <c r="H62" s="10">
        <f t="shared" si="7"/>
        <v>0.95</v>
      </c>
      <c r="I62" s="5">
        <f t="shared" si="8"/>
        <v>781160.04838276561</v>
      </c>
      <c r="J62" s="7">
        <f t="shared" si="9"/>
        <v>14842040.919272546</v>
      </c>
      <c r="K62" s="8">
        <f t="shared" si="10"/>
        <v>-2.7763392792710673E-3</v>
      </c>
      <c r="L62" s="8">
        <f t="shared" si="11"/>
        <v>2.7763392792710118E-3</v>
      </c>
      <c r="M62" s="4">
        <f t="shared" si="12"/>
        <v>725180.1397802406</v>
      </c>
      <c r="N62" s="4">
        <f t="shared" si="13"/>
        <v>14744814.101265794</v>
      </c>
      <c r="O62" s="149">
        <f t="shared" si="14"/>
        <v>70626.884882004422</v>
      </c>
      <c r="P62" s="149">
        <f t="shared" si="15"/>
        <v>-568161.10388043313</v>
      </c>
      <c r="Q62" s="152">
        <f t="shared" si="16"/>
        <v>159459.52843483325</v>
      </c>
      <c r="R62" s="152">
        <f t="shared" si="17"/>
        <v>0</v>
      </c>
      <c r="S62" s="140">
        <f t="shared" si="18"/>
        <v>2022589.506716389</v>
      </c>
      <c r="T62" s="134">
        <f t="shared" ref="T62:U62" si="38">I62*G18</f>
        <v>115776.45161529891</v>
      </c>
      <c r="U62" s="134">
        <f t="shared" si="38"/>
        <v>1256072.1094933834</v>
      </c>
      <c r="V62" s="134">
        <f t="shared" si="20"/>
        <v>5159910.2069128435</v>
      </c>
      <c r="W62" s="5">
        <f t="shared" si="21"/>
        <v>16995049.528763995</v>
      </c>
      <c r="X62" s="140">
        <f t="shared" si="22"/>
        <v>23395.836914947493</v>
      </c>
      <c r="Y62" s="141">
        <f t="shared" si="23"/>
        <v>44937563.558717966</v>
      </c>
      <c r="Z62" s="12">
        <f t="shared" si="24"/>
        <v>1.2468781779358984</v>
      </c>
      <c r="AA62" s="8">
        <f>(Y62 - MAX($Y$47:Y62))/Y62</f>
        <v>-0.39944568527898111</v>
      </c>
    </row>
    <row r="63" spans="1:27" x14ac:dyDescent="0.3">
      <c r="A63">
        <v>17</v>
      </c>
      <c r="B63" s="4">
        <f t="shared" si="1"/>
        <v>44937563.558717966</v>
      </c>
      <c r="C63" s="4">
        <f t="shared" si="2"/>
        <v>14949064.185132658</v>
      </c>
      <c r="D63" s="4">
        <f t="shared" si="3"/>
        <v>29988499.373585306</v>
      </c>
      <c r="E63" s="8">
        <f t="shared" si="4"/>
        <v>0.33266298840611069</v>
      </c>
      <c r="F63" s="8">
        <f t="shared" si="5"/>
        <v>0.66733701159388925</v>
      </c>
      <c r="G63" s="9">
        <f t="shared" si="6"/>
        <v>0.05</v>
      </c>
      <c r="H63" s="10">
        <f t="shared" si="7"/>
        <v>0.95</v>
      </c>
      <c r="I63" s="5">
        <f t="shared" si="8"/>
        <v>747453.20925663295</v>
      </c>
      <c r="J63" s="7">
        <f t="shared" si="9"/>
        <v>14201610.975876024</v>
      </c>
      <c r="K63" s="8">
        <f t="shared" si="10"/>
        <v>5.7396765808663888E-3</v>
      </c>
      <c r="L63" s="8">
        <f t="shared" si="11"/>
        <v>-5.7396765808664929E-3</v>
      </c>
      <c r="M63" s="4">
        <f t="shared" si="12"/>
        <v>698639.02449272014</v>
      </c>
      <c r="N63" s="4">
        <f t="shared" si="13"/>
        <v>12521195.133083252</v>
      </c>
      <c r="O63" s="149">
        <f t="shared" si="14"/>
        <v>-47845.354844148882</v>
      </c>
      <c r="P63" s="149">
        <f t="shared" si="15"/>
        <v>1823157.4690556605</v>
      </c>
      <c r="Q63" s="152">
        <f t="shared" si="16"/>
        <v>0</v>
      </c>
      <c r="R63" s="152">
        <f t="shared" si="17"/>
        <v>12199.589481939618</v>
      </c>
      <c r="S63" s="140">
        <f t="shared" si="18"/>
        <v>2246878.1779358983</v>
      </c>
      <c r="T63" s="134">
        <f t="shared" ref="T63:U63" si="39">I63*G19</f>
        <v>15684.369288733184</v>
      </c>
      <c r="U63" s="134">
        <f t="shared" si="39"/>
        <v>2277275.895301993</v>
      </c>
      <c r="V63" s="134">
        <f t="shared" si="20"/>
        <v>2076252.8380457556</v>
      </c>
      <c r="W63" s="5">
        <f t="shared" si="21"/>
        <v>17242024.449723382</v>
      </c>
      <c r="X63" s="140">
        <f t="shared" si="22"/>
        <v>1816.4349412271124</v>
      </c>
      <c r="Y63" s="141">
        <f t="shared" si="23"/>
        <v>47058082.048477322</v>
      </c>
      <c r="Z63" s="12">
        <f t="shared" si="24"/>
        <v>1.3529041024238662</v>
      </c>
      <c r="AA63" s="8">
        <f>(Y63 - MAX($Y$47:Y63))/Y63</f>
        <v>-0.33638424456852073</v>
      </c>
    </row>
    <row r="64" spans="1:27" x14ac:dyDescent="0.3">
      <c r="A64">
        <v>18</v>
      </c>
      <c r="B64" s="4">
        <f t="shared" si="1"/>
        <v>47058082.048477322</v>
      </c>
      <c r="C64" s="4">
        <f t="shared" si="2"/>
        <v>14993329.836846257</v>
      </c>
      <c r="D64" s="4">
        <f t="shared" si="3"/>
        <v>32064752.211631063</v>
      </c>
      <c r="E64" s="8">
        <f t="shared" si="4"/>
        <v>0.31861327925351351</v>
      </c>
      <c r="F64" s="8">
        <f t="shared" si="5"/>
        <v>0.68138672074648643</v>
      </c>
      <c r="G64" s="9">
        <f t="shared" si="6"/>
        <v>0.05</v>
      </c>
      <c r="H64" s="10">
        <f t="shared" si="7"/>
        <v>0.95</v>
      </c>
      <c r="I64" s="5">
        <f t="shared" si="8"/>
        <v>749666.49184231285</v>
      </c>
      <c r="J64" s="7">
        <f t="shared" si="9"/>
        <v>14243663.345003944</v>
      </c>
      <c r="K64" s="8">
        <f t="shared" si="10"/>
        <v>-5.9222910795810116E-3</v>
      </c>
      <c r="L64" s="8">
        <f t="shared" si="11"/>
        <v>5.9222910795809769E-3</v>
      </c>
      <c r="M64" s="4">
        <f t="shared" si="12"/>
        <v>498242.94611951848</v>
      </c>
      <c r="N64" s="4">
        <f t="shared" si="13"/>
        <v>10374731.099326549</v>
      </c>
      <c r="O64" s="149">
        <f t="shared" si="14"/>
        <v>252904.73351649288</v>
      </c>
      <c r="P64" s="149">
        <f t="shared" si="15"/>
        <v>2056934.0569782159</v>
      </c>
      <c r="Q64" s="152">
        <f t="shared" si="16"/>
        <v>686425.78930834588</v>
      </c>
      <c r="R64" s="152">
        <f t="shared" si="17"/>
        <v>4524.8855966151095</v>
      </c>
      <c r="S64" s="140">
        <f t="shared" si="18"/>
        <v>2352904.1024238663</v>
      </c>
      <c r="T64" s="134">
        <f t="shared" ref="T64:U64" si="40">I64*G20</f>
        <v>119126.3929148918</v>
      </c>
      <c r="U64" s="134">
        <f t="shared" si="40"/>
        <v>423260.70860349329</v>
      </c>
      <c r="V64" s="134">
        <f t="shared" si="20"/>
        <v>4602904.5550159663</v>
      </c>
      <c r="W64" s="5">
        <f t="shared" si="21"/>
        <v>15535716.938364642</v>
      </c>
      <c r="X64" s="140">
        <f t="shared" si="22"/>
        <v>103642.60123574415</v>
      </c>
      <c r="Y64" s="141">
        <f t="shared" si="23"/>
        <v>49746827.001352057</v>
      </c>
      <c r="Z64" s="12">
        <f t="shared" si="24"/>
        <v>1.4873413500676029</v>
      </c>
      <c r="AA64" s="8">
        <f>(Y64 - MAX($Y$47:Y64))/Y64</f>
        <v>-0.26415458472333569</v>
      </c>
    </row>
    <row r="65" spans="1:27" x14ac:dyDescent="0.3">
      <c r="A65">
        <v>19</v>
      </c>
      <c r="B65" s="4">
        <f t="shared" si="1"/>
        <v>49746827.001352057</v>
      </c>
      <c r="C65" s="4">
        <f t="shared" si="2"/>
        <v>13079170.234705031</v>
      </c>
      <c r="D65" s="4">
        <f t="shared" si="3"/>
        <v>36667656.766647026</v>
      </c>
      <c r="E65" s="8">
        <f t="shared" si="4"/>
        <v>0.26291466256429891</v>
      </c>
      <c r="F65" s="8">
        <f t="shared" si="5"/>
        <v>0.73708533743570104</v>
      </c>
      <c r="G65" s="9">
        <f t="shared" si="6"/>
        <v>0.05</v>
      </c>
      <c r="H65" s="10">
        <f t="shared" si="7"/>
        <v>0.95</v>
      </c>
      <c r="I65" s="5">
        <f t="shared" si="8"/>
        <v>653958.51173525164</v>
      </c>
      <c r="J65" s="7">
        <f t="shared" si="9"/>
        <v>12425211.722969778</v>
      </c>
      <c r="K65" s="8">
        <f t="shared" si="10"/>
        <v>-2.1077910561692045E-2</v>
      </c>
      <c r="L65" s="8">
        <f t="shared" si="11"/>
        <v>2.107791056169217E-2</v>
      </c>
      <c r="M65" s="4">
        <f t="shared" si="12"/>
        <v>163837.47349011511</v>
      </c>
      <c r="N65" s="4">
        <f t="shared" si="13"/>
        <v>8287438.3971905857</v>
      </c>
      <c r="O65" s="149">
        <f t="shared" si="14"/>
        <v>575969.49581557268</v>
      </c>
      <c r="P65" s="149">
        <f t="shared" si="15"/>
        <v>643537.09405388497</v>
      </c>
      <c r="Q65" s="152">
        <f t="shared" si="16"/>
        <v>1669946.0484329304</v>
      </c>
      <c r="R65" s="152">
        <f t="shared" si="17"/>
        <v>0</v>
      </c>
      <c r="S65" s="140">
        <f t="shared" si="18"/>
        <v>2487341.3500676029</v>
      </c>
      <c r="T65" s="134">
        <f t="shared" ref="T65:U65" si="41">I65*G21</f>
        <v>210215.52507381624</v>
      </c>
      <c r="U65" s="134">
        <f t="shared" si="41"/>
        <v>-1131261.9491610841</v>
      </c>
      <c r="V65" s="134">
        <f t="shared" si="20"/>
        <v>7583275.1748555759</v>
      </c>
      <c r="W65" s="5">
        <f t="shared" si="21"/>
        <v>12158123.810617764</v>
      </c>
      <c r="X65" s="140">
        <f t="shared" si="22"/>
        <v>246915.21153700011</v>
      </c>
      <c r="Y65" s="141">
        <f t="shared" si="23"/>
        <v>53674799.190515764</v>
      </c>
      <c r="Z65" s="12">
        <f t="shared" si="24"/>
        <v>1.6837399595257883</v>
      </c>
      <c r="AA65" s="8">
        <f>(Y65 - MAX($Y$47:Y65))/Y65</f>
        <v>-0.17164256555448776</v>
      </c>
    </row>
    <row r="66" spans="1:27" x14ac:dyDescent="0.3">
      <c r="A66">
        <v>20</v>
      </c>
      <c r="B66" s="4">
        <f t="shared" si="1"/>
        <v>53674799.190515764</v>
      </c>
      <c r="C66" s="4">
        <f t="shared" si="2"/>
        <v>9423867.2490131594</v>
      </c>
      <c r="D66" s="4">
        <f t="shared" si="3"/>
        <v>44250931.941502601</v>
      </c>
      <c r="E66" s="8">
        <f t="shared" si="4"/>
        <v>0.17557340485920883</v>
      </c>
      <c r="F66" s="8">
        <f t="shared" si="5"/>
        <v>0.82442659514079109</v>
      </c>
      <c r="G66" s="9">
        <f t="shared" si="6"/>
        <v>0.05</v>
      </c>
      <c r="H66" s="10">
        <f t="shared" si="7"/>
        <v>0.95</v>
      </c>
      <c r="I66" s="5">
        <f t="shared" si="8"/>
        <v>471193.36245065799</v>
      </c>
      <c r="J66" s="7">
        <f t="shared" si="9"/>
        <v>8952673.8865625001</v>
      </c>
      <c r="K66" s="8">
        <f t="shared" si="10"/>
        <v>-1.190119013203636E-3</v>
      </c>
      <c r="L66" s="8">
        <f t="shared" si="11"/>
        <v>1.1901190132037609E-3</v>
      </c>
      <c r="M66" s="4">
        <f t="shared" si="12"/>
        <v>25750.753668309015</v>
      </c>
      <c r="N66" s="4">
        <f t="shared" si="13"/>
        <v>5749100.9592320453</v>
      </c>
      <c r="O66" s="149">
        <f t="shared" si="14"/>
        <v>374981.7879281654</v>
      </c>
      <c r="P66" s="149">
        <f t="shared" si="15"/>
        <v>1616090.45691047</v>
      </c>
      <c r="Q66" s="152">
        <f t="shared" si="16"/>
        <v>1881763.9925530411</v>
      </c>
      <c r="R66" s="152">
        <f t="shared" si="17"/>
        <v>8463.9441274816963</v>
      </c>
      <c r="S66" s="140">
        <f t="shared" si="18"/>
        <v>2683739.9595257882</v>
      </c>
      <c r="T66" s="134">
        <f t="shared" ref="T66:U66" si="42">I66*G22</f>
        <v>63726.177122105859</v>
      </c>
      <c r="U66" s="134">
        <f t="shared" si="42"/>
        <v>962070.49112951383</v>
      </c>
      <c r="V66" s="134">
        <f t="shared" si="20"/>
        <v>4444650.0301887235</v>
      </c>
      <c r="W66" s="5">
        <f t="shared" si="21"/>
        <v>10449663.91726478</v>
      </c>
      <c r="X66" s="140">
        <f t="shared" si="22"/>
        <v>283534.19050207839</v>
      </c>
      <c r="Y66" s="141">
        <f t="shared" si="23"/>
        <v>56177971.738928244</v>
      </c>
      <c r="Z66" s="12">
        <f t="shared" si="24"/>
        <v>1.8088985869464123</v>
      </c>
      <c r="AA66" s="8">
        <f>(Y66 - MAX($Y$47:Y66))/Y66</f>
        <v>-0.11943663116659178</v>
      </c>
    </row>
    <row r="67" spans="1:27" x14ac:dyDescent="0.3">
      <c r="A67">
        <v>21</v>
      </c>
      <c r="B67" s="4">
        <f t="shared" si="1"/>
        <v>56177971.738928244</v>
      </c>
      <c r="C67" s="4">
        <f t="shared" si="2"/>
        <v>7482389.7672369117</v>
      </c>
      <c r="D67" s="4">
        <f t="shared" si="3"/>
        <v>48695581.971691325</v>
      </c>
      <c r="E67" s="8">
        <f t="shared" si="4"/>
        <v>0.1331908136877791</v>
      </c>
      <c r="F67" s="8">
        <f t="shared" si="5"/>
        <v>0.86680918631222081</v>
      </c>
      <c r="G67" s="9">
        <f t="shared" si="6"/>
        <v>0.05</v>
      </c>
      <c r="H67" s="10">
        <f t="shared" si="7"/>
        <v>0.95</v>
      </c>
      <c r="I67" s="5">
        <f t="shared" si="8"/>
        <v>374119.48836184561</v>
      </c>
      <c r="J67" s="7">
        <f t="shared" si="9"/>
        <v>7108270.278875066</v>
      </c>
      <c r="K67" s="8">
        <f t="shared" si="10"/>
        <v>-4.4359380441831575E-5</v>
      </c>
      <c r="L67" s="8">
        <f t="shared" si="11"/>
        <v>4.4359380441783003E-5</v>
      </c>
      <c r="M67" s="4">
        <f t="shared" si="12"/>
        <v>-114717.02142858435</v>
      </c>
      <c r="N67" s="4">
        <f t="shared" si="13"/>
        <v>3080979.2158072526</v>
      </c>
      <c r="O67" s="149">
        <f t="shared" si="14"/>
        <v>353550.28279610985</v>
      </c>
      <c r="P67" s="149">
        <f t="shared" si="15"/>
        <v>1450128.8972726278</v>
      </c>
      <c r="Q67" s="152">
        <f t="shared" si="16"/>
        <v>353550.28279610985</v>
      </c>
      <c r="R67" s="152">
        <f t="shared" si="17"/>
        <v>1450128.8972726278</v>
      </c>
      <c r="S67" s="140">
        <f t="shared" si="18"/>
        <v>2808898.5869464125</v>
      </c>
      <c r="T67" s="134">
        <f t="shared" ref="T67:U67" si="43">I67*G23</f>
        <v>5158.7023530005326</v>
      </c>
      <c r="U67" s="134">
        <f t="shared" si="43"/>
        <v>91291.49180390632</v>
      </c>
      <c r="V67" s="134">
        <f t="shared" si="20"/>
        <v>4185664.6699759448</v>
      </c>
      <c r="W67" s="5">
        <f t="shared" si="21"/>
        <v>7578839.9613938183</v>
      </c>
      <c r="X67" s="140">
        <f t="shared" si="22"/>
        <v>5023042.9867820824</v>
      </c>
      <c r="Y67" s="141">
        <f t="shared" si="23"/>
        <v>52628145.029332601</v>
      </c>
      <c r="Z67" s="12">
        <f t="shared" si="24"/>
        <v>1.63140725146663</v>
      </c>
      <c r="AA67" s="8">
        <f>(Y67 - MAX($Y$47:Y67))/Y67</f>
        <v>-0.19494387260176133</v>
      </c>
    </row>
    <row r="68" spans="1:27" x14ac:dyDescent="0.3">
      <c r="A68">
        <v>22</v>
      </c>
      <c r="B68" s="4">
        <f t="shared" si="1"/>
        <v>52628145.029332601</v>
      </c>
      <c r="C68" s="4">
        <f t="shared" si="2"/>
        <v>25239370.289643101</v>
      </c>
      <c r="D68" s="4">
        <f t="shared" si="3"/>
        <v>27388774.739689499</v>
      </c>
      <c r="E68" s="8">
        <f t="shared" si="4"/>
        <v>0.47957932538902509</v>
      </c>
      <c r="F68" s="8">
        <f t="shared" si="5"/>
        <v>0.52042067461097496</v>
      </c>
      <c r="G68" s="9">
        <f t="shared" si="6"/>
        <v>0.05</v>
      </c>
      <c r="H68" s="10">
        <f t="shared" si="7"/>
        <v>0.95</v>
      </c>
      <c r="I68" s="5">
        <f t="shared" si="8"/>
        <v>1261968.5144821552</v>
      </c>
      <c r="J68" s="7">
        <f t="shared" si="9"/>
        <v>23977401.775160946</v>
      </c>
      <c r="K68" s="8">
        <f t="shared" si="10"/>
        <v>-5.1994851471078088E-3</v>
      </c>
      <c r="L68" s="8">
        <f t="shared" si="11"/>
        <v>5.1994851471077741E-3</v>
      </c>
      <c r="M68" s="4">
        <f t="shared" si="12"/>
        <v>1130398.1519088238</v>
      </c>
      <c r="N68" s="4">
        <f t="shared" si="13"/>
        <v>21477564.886267647</v>
      </c>
      <c r="O68" s="149">
        <f t="shared" si="14"/>
        <v>148572.57382447313</v>
      </c>
      <c r="P68" s="149">
        <f t="shared" si="15"/>
        <v>165576.06062213751</v>
      </c>
      <c r="Q68" s="152">
        <f t="shared" si="16"/>
        <v>277939.15088907955</v>
      </c>
      <c r="R68" s="152">
        <f t="shared" si="17"/>
        <v>158.0220964983254</v>
      </c>
      <c r="S68" s="140">
        <f t="shared" si="18"/>
        <v>2631407.25146663</v>
      </c>
      <c r="T68" s="134">
        <f t="shared" ref="T68:U68" si="44">I68*G24</f>
        <v>148572.57382447319</v>
      </c>
      <c r="U68" s="134">
        <f t="shared" si="44"/>
        <v>165576.06062213756</v>
      </c>
      <c r="V68" s="134">
        <f t="shared" si="20"/>
        <v>3107778.0267955535</v>
      </c>
      <c r="W68" s="5">
        <f t="shared" si="21"/>
        <v>25553518.924089711</v>
      </c>
      <c r="X68" s="140">
        <f t="shared" si="22"/>
        <v>41714.575947836682</v>
      </c>
      <c r="Y68" s="141">
        <f t="shared" si="23"/>
        <v>53376949.863160297</v>
      </c>
      <c r="Z68" s="12">
        <f t="shared" si="24"/>
        <v>1.6688474931580148</v>
      </c>
      <c r="AA68" s="8">
        <f>(Y68 - MAX($Y$47:Y68))/Y68</f>
        <v>-0.17818046161160758</v>
      </c>
    </row>
    <row r="69" spans="1:27" x14ac:dyDescent="0.3">
      <c r="A69">
        <v>23</v>
      </c>
      <c r="B69" s="4">
        <f t="shared" si="1"/>
        <v>53376949.863160297</v>
      </c>
      <c r="C69" s="4">
        <f t="shared" si="2"/>
        <v>22880397.096675243</v>
      </c>
      <c r="D69" s="4">
        <f t="shared" si="3"/>
        <v>30496552.766485054</v>
      </c>
      <c r="E69" s="8">
        <f t="shared" si="4"/>
        <v>0.4286568857031457</v>
      </c>
      <c r="F69" s="8">
        <f t="shared" si="5"/>
        <v>0.57134311429685425</v>
      </c>
      <c r="G69" s="9">
        <f t="shared" si="6"/>
        <v>0.05</v>
      </c>
      <c r="H69" s="10">
        <f t="shared" si="7"/>
        <v>0.95</v>
      </c>
      <c r="I69" s="5">
        <f t="shared" si="8"/>
        <v>1144019.8548337622</v>
      </c>
      <c r="J69" s="7">
        <f t="shared" si="9"/>
        <v>21736377.24184148</v>
      </c>
      <c r="K69" s="8">
        <f t="shared" si="10"/>
        <v>-8.6096245228208523E-3</v>
      </c>
      <c r="L69" s="8">
        <f t="shared" si="11"/>
        <v>8.6096245228207691E-3</v>
      </c>
      <c r="M69" s="4">
        <f t="shared" si="12"/>
        <v>802309.70426641137</v>
      </c>
      <c r="N69" s="4">
        <f t="shared" si="13"/>
        <v>19139151.395702947</v>
      </c>
      <c r="O69" s="149">
        <f t="shared" si="14"/>
        <v>455438.77325254411</v>
      </c>
      <c r="P69" s="149">
        <f t="shared" si="15"/>
        <v>670812.34550098283</v>
      </c>
      <c r="Q69" s="152">
        <f t="shared" si="16"/>
        <v>877630.63125706417</v>
      </c>
      <c r="R69" s="152">
        <f t="shared" si="17"/>
        <v>1644.6792843112048</v>
      </c>
      <c r="S69" s="140">
        <f t="shared" si="18"/>
        <v>2668847.493158015</v>
      </c>
      <c r="T69" s="134">
        <f t="shared" ref="T69:U69" si="45">I69*G25</f>
        <v>247170.99734309409</v>
      </c>
      <c r="U69" s="134">
        <f t="shared" si="45"/>
        <v>608991.61786256463</v>
      </c>
      <c r="V69" s="134">
        <f t="shared" si="20"/>
        <v>6838303.7468034299</v>
      </c>
      <c r="W69" s="5">
        <f t="shared" si="21"/>
        <v>23736559.7118809</v>
      </c>
      <c r="X69" s="140">
        <f t="shared" si="22"/>
        <v>131891.29658120632</v>
      </c>
      <c r="Y69" s="141">
        <f t="shared" si="23"/>
        <v>58270677.435430169</v>
      </c>
      <c r="Z69" s="12">
        <f t="shared" si="24"/>
        <v>1.9135338717715085</v>
      </c>
      <c r="AA69" s="8">
        <f>(Y69 - MAX($Y$47:Y69))/Y69</f>
        <v>-7.9233710623731315E-2</v>
      </c>
    </row>
    <row r="70" spans="1:27" x14ac:dyDescent="0.3">
      <c r="A70">
        <v>24</v>
      </c>
      <c r="B70" s="4">
        <f t="shared" si="1"/>
        <v>58270677.435430169</v>
      </c>
      <c r="C70" s="4">
        <f t="shared" si="2"/>
        <v>20935820.922141679</v>
      </c>
      <c r="D70" s="4">
        <f t="shared" si="3"/>
        <v>37334856.513288483</v>
      </c>
      <c r="E70" s="8">
        <f t="shared" si="4"/>
        <v>0.35928569640091612</v>
      </c>
      <c r="F70" s="8">
        <f t="shared" si="5"/>
        <v>0.64071430359908377</v>
      </c>
      <c r="G70" s="9">
        <f t="shared" si="6"/>
        <v>0.05</v>
      </c>
      <c r="H70" s="10">
        <f t="shared" si="7"/>
        <v>0.95</v>
      </c>
      <c r="I70" s="5">
        <f t="shared" si="8"/>
        <v>1046791.046107084</v>
      </c>
      <c r="J70" s="7">
        <f t="shared" si="9"/>
        <v>19889029.876034595</v>
      </c>
      <c r="K70" s="8">
        <f t="shared" si="10"/>
        <v>2.0043880233639316E-3</v>
      </c>
      <c r="L70" s="8">
        <f t="shared" si="11"/>
        <v>-2.004388023364112E-3</v>
      </c>
      <c r="M70" s="4">
        <f t="shared" si="12"/>
        <v>698596.51939346874</v>
      </c>
      <c r="N70" s="4">
        <f t="shared" si="13"/>
        <v>16330912.864009593</v>
      </c>
      <c r="O70" s="149">
        <f t="shared" si="14"/>
        <v>158271.34387621077</v>
      </c>
      <c r="P70" s="149">
        <f t="shared" si="15"/>
        <v>786939.88026050851</v>
      </c>
      <c r="Q70" s="152">
        <f t="shared" si="16"/>
        <v>459641.29349427338</v>
      </c>
      <c r="R70" s="152">
        <f t="shared" si="17"/>
        <v>0</v>
      </c>
      <c r="S70" s="140">
        <f t="shared" si="18"/>
        <v>2913533.8717715088</v>
      </c>
      <c r="T70" s="134">
        <f t="shared" ref="T70:U70" si="46">I70*G26</f>
        <v>-44246.489248829035</v>
      </c>
      <c r="U70" s="134">
        <f t="shared" si="46"/>
        <v>-3319.95358156158</v>
      </c>
      <c r="V70" s="134">
        <f t="shared" si="20"/>
        <v>3476653.0824373835</v>
      </c>
      <c r="W70" s="5">
        <f t="shared" si="21"/>
        <v>20888254.479311287</v>
      </c>
      <c r="X70" s="140">
        <f t="shared" si="22"/>
        <v>68945.195852861449</v>
      </c>
      <c r="Y70" s="141">
        <f t="shared" si="23"/>
        <v>58717285.007412791</v>
      </c>
      <c r="Z70" s="12">
        <f t="shared" si="24"/>
        <v>1.9358642503706396</v>
      </c>
      <c r="AA70" s="8">
        <f>(Y70 - MAX($Y$47:Y70))/Y70</f>
        <v>-7.1024987297327327E-2</v>
      </c>
    </row>
    <row r="71" spans="1:27" x14ac:dyDescent="0.3">
      <c r="A71">
        <v>25</v>
      </c>
      <c r="B71" s="4">
        <f t="shared" si="1"/>
        <v>58717285.007412791</v>
      </c>
      <c r="C71" s="4">
        <f t="shared" si="2"/>
        <v>17905775.41168692</v>
      </c>
      <c r="D71" s="4">
        <f t="shared" si="3"/>
        <v>40811509.595725864</v>
      </c>
      <c r="E71" s="8">
        <f t="shared" si="4"/>
        <v>0.30494896706185232</v>
      </c>
      <c r="F71" s="8">
        <f t="shared" si="5"/>
        <v>0.69505103293814752</v>
      </c>
      <c r="G71" s="9">
        <f t="shared" si="6"/>
        <v>0.05</v>
      </c>
      <c r="H71" s="10">
        <f t="shared" si="7"/>
        <v>0.95</v>
      </c>
      <c r="I71" s="5">
        <f t="shared" si="8"/>
        <v>895288.77058434603</v>
      </c>
      <c r="J71" s="7">
        <f t="shared" si="9"/>
        <v>17010486.641102571</v>
      </c>
      <c r="K71" s="8">
        <f t="shared" si="10"/>
        <v>-9.2568088004713542E-3</v>
      </c>
      <c r="L71" s="8">
        <f t="shared" si="11"/>
        <v>9.2568088004714166E-3</v>
      </c>
      <c r="M71" s="4">
        <f t="shared" si="12"/>
        <v>422467.81870093435</v>
      </c>
      <c r="N71" s="4">
        <f t="shared" si="13"/>
        <v>13707592.165567655</v>
      </c>
      <c r="O71" s="149">
        <f t="shared" si="14"/>
        <v>605462.40548702911</v>
      </c>
      <c r="P71" s="149">
        <f t="shared" si="15"/>
        <v>2152891.1177598694</v>
      </c>
      <c r="Q71" s="152">
        <f t="shared" si="16"/>
        <v>1518773.9418901501</v>
      </c>
      <c r="R71" s="152">
        <f t="shared" si="17"/>
        <v>12328.835137964406</v>
      </c>
      <c r="S71" s="140">
        <f t="shared" si="18"/>
        <v>2935864.2503706398</v>
      </c>
      <c r="T71" s="134">
        <f t="shared" ref="T71:U71" si="47">I71*G27</f>
        <v>279434.66612214939</v>
      </c>
      <c r="U71" s="134">
        <f t="shared" si="47"/>
        <v>1639067.680077062</v>
      </c>
      <c r="V71" s="134">
        <f t="shared" si="20"/>
        <v>7049071.228782123</v>
      </c>
      <c r="W71" s="5">
        <f t="shared" si="21"/>
        <v>19824277.75788613</v>
      </c>
      <c r="X71" s="140">
        <f t="shared" si="22"/>
        <v>229665.41655421717</v>
      </c>
      <c r="Y71" s="141">
        <f t="shared" si="23"/>
        <v>64519328.915469274</v>
      </c>
      <c r="Z71" s="12">
        <f t="shared" si="24"/>
        <v>2.2259664457734636</v>
      </c>
      <c r="AA71" s="8">
        <f>(Y71 - MAX($Y$47:Y71))/Y71</f>
        <v>0</v>
      </c>
    </row>
    <row r="72" spans="1:27" x14ac:dyDescent="0.3">
      <c r="A72">
        <v>26</v>
      </c>
      <c r="B72" s="4">
        <f t="shared" si="1"/>
        <v>64519328.915469274</v>
      </c>
      <c r="C72" s="4">
        <f t="shared" si="2"/>
        <v>16658748.09096127</v>
      </c>
      <c r="D72" s="4">
        <f t="shared" si="3"/>
        <v>47860580.824507989</v>
      </c>
      <c r="E72" s="8">
        <f t="shared" si="4"/>
        <v>0.25819778926694847</v>
      </c>
      <c r="F72" s="8">
        <f t="shared" si="5"/>
        <v>0.7418022107330513</v>
      </c>
      <c r="G72" s="9">
        <f t="shared" si="6"/>
        <v>0.05</v>
      </c>
      <c r="H72" s="10">
        <f t="shared" si="7"/>
        <v>0.95</v>
      </c>
      <c r="I72" s="5">
        <f t="shared" si="8"/>
        <v>832937.40454806352</v>
      </c>
      <c r="J72" s="7">
        <f t="shared" si="9"/>
        <v>15825810.686413206</v>
      </c>
      <c r="K72" s="8">
        <f t="shared" si="10"/>
        <v>-2.8463062271368647E-3</v>
      </c>
      <c r="L72" s="8">
        <f t="shared" si="11"/>
        <v>2.8463062271368855E-3</v>
      </c>
      <c r="M72" s="4">
        <f t="shared" si="12"/>
        <v>237120.04074959323</v>
      </c>
      <c r="N72" s="4">
        <f t="shared" si="13"/>
        <v>10690339.940510472</v>
      </c>
      <c r="O72" s="149">
        <f t="shared" si="14"/>
        <v>584641.03102758923</v>
      </c>
      <c r="P72" s="149">
        <f t="shared" si="15"/>
        <v>3864167.2911492083</v>
      </c>
      <c r="Q72" s="152">
        <f t="shared" si="16"/>
        <v>1920197.5357838948</v>
      </c>
      <c r="R72" s="152">
        <f t="shared" si="17"/>
        <v>21925.552780415492</v>
      </c>
      <c r="S72" s="140">
        <f t="shared" si="18"/>
        <v>3225966.4457734637</v>
      </c>
      <c r="T72" s="134">
        <f t="shared" ref="T72:U72" si="48">I72*G28</f>
        <v>150121.98951779195</v>
      </c>
      <c r="U72" s="134">
        <f t="shared" si="48"/>
        <v>1793364.6687312641</v>
      </c>
      <c r="V72" s="134">
        <f t="shared" si="20"/>
        <v>10979217.241142133</v>
      </c>
      <c r="W72" s="5">
        <f t="shared" si="21"/>
        <v>18602234.749210328</v>
      </c>
      <c r="X72" s="140">
        <f t="shared" si="22"/>
        <v>291318.46328464651</v>
      </c>
      <c r="Y72" s="141">
        <f t="shared" si="23"/>
        <v>73924747.905802354</v>
      </c>
      <c r="Z72" s="12">
        <f t="shared" si="24"/>
        <v>2.6962373952901175</v>
      </c>
      <c r="AA72" s="8">
        <f>(Y72 - MAX($Y$47:Y72))/Y72</f>
        <v>0</v>
      </c>
    </row>
    <row r="73" spans="1:27" x14ac:dyDescent="0.3">
      <c r="A73">
        <v>27</v>
      </c>
      <c r="B73" s="4">
        <f t="shared" si="1"/>
        <v>73924747.905802354</v>
      </c>
      <c r="C73" s="4">
        <f t="shared" si="2"/>
        <v>15084949.840152217</v>
      </c>
      <c r="D73" s="4">
        <f t="shared" si="3"/>
        <v>58839798.06565012</v>
      </c>
      <c r="E73" s="8">
        <f t="shared" si="4"/>
        <v>0.20405818440360485</v>
      </c>
      <c r="F73" s="8">
        <f t="shared" si="5"/>
        <v>0.79594181559639499</v>
      </c>
      <c r="G73" s="9">
        <f t="shared" si="6"/>
        <v>0.05</v>
      </c>
      <c r="H73" s="10">
        <f t="shared" si="7"/>
        <v>0.95</v>
      </c>
      <c r="I73" s="5">
        <f t="shared" si="8"/>
        <v>754247.49200761085</v>
      </c>
      <c r="J73" s="7">
        <f t="shared" si="9"/>
        <v>14330702.348144606</v>
      </c>
      <c r="K73" s="8">
        <f t="shared" si="10"/>
        <v>-1.6065626393341206E-2</v>
      </c>
      <c r="L73" s="8">
        <f t="shared" si="11"/>
        <v>1.6065626393341192E-2</v>
      </c>
      <c r="M73" s="4">
        <f t="shared" si="12"/>
        <v>-23881.468716048781</v>
      </c>
      <c r="N73" s="4">
        <f t="shared" si="13"/>
        <v>7421263.5832790388</v>
      </c>
      <c r="O73" s="149">
        <f t="shared" si="14"/>
        <v>808042.69130170823</v>
      </c>
      <c r="P73" s="149">
        <f t="shared" si="15"/>
        <v>2765164.4869189188</v>
      </c>
      <c r="Q73" s="152">
        <f t="shared" si="16"/>
        <v>3095335.2222764185</v>
      </c>
      <c r="R73" s="152">
        <f t="shared" si="17"/>
        <v>0</v>
      </c>
      <c r="S73" s="140">
        <f t="shared" si="18"/>
        <v>3696237.3952901177</v>
      </c>
      <c r="T73" s="134">
        <f t="shared" ref="T73:U73" si="49">I73*G29</f>
        <v>214725.60034255445</v>
      </c>
      <c r="U73" s="134">
        <f t="shared" si="49"/>
        <v>-632848.75242103625</v>
      </c>
      <c r="V73" s="134">
        <f t="shared" si="20"/>
        <v>5430913.3614595067</v>
      </c>
      <c r="W73" s="5">
        <f t="shared" si="21"/>
        <v>14666826.688073736</v>
      </c>
      <c r="X73" s="140">
        <f t="shared" si="22"/>
        <v>462775.21659847948</v>
      </c>
      <c r="Y73" s="141">
        <f t="shared" si="23"/>
        <v>74778525.503294781</v>
      </c>
      <c r="Z73" s="12">
        <f t="shared" si="24"/>
        <v>2.7389262751647392</v>
      </c>
      <c r="AA73" s="8">
        <f>(Y73 - MAX($Y$47:Y73))/Y73</f>
        <v>0</v>
      </c>
    </row>
    <row r="74" spans="1:27" x14ac:dyDescent="0.3">
      <c r="A74">
        <v>28</v>
      </c>
      <c r="B74" s="4">
        <f t="shared" si="1"/>
        <v>74778525.503294781</v>
      </c>
      <c r="C74" s="4">
        <f t="shared" si="2"/>
        <v>10507814.076185139</v>
      </c>
      <c r="D74" s="4">
        <f t="shared" si="3"/>
        <v>64270711.427109629</v>
      </c>
      <c r="E74" s="8">
        <f t="shared" si="4"/>
        <v>0.14051913975921013</v>
      </c>
      <c r="F74" s="8">
        <f t="shared" si="5"/>
        <v>0.85948086024078973</v>
      </c>
      <c r="G74" s="9">
        <f t="shared" si="6"/>
        <v>0.05</v>
      </c>
      <c r="H74" s="10">
        <f t="shared" si="7"/>
        <v>0.95</v>
      </c>
      <c r="I74" s="5">
        <f t="shared" si="8"/>
        <v>525390.70380925701</v>
      </c>
      <c r="J74" s="7">
        <f t="shared" si="9"/>
        <v>9982423.3723758813</v>
      </c>
      <c r="K74" s="8">
        <f t="shared" si="10"/>
        <v>1.2102262259555685E-4</v>
      </c>
      <c r="L74" s="8">
        <f t="shared" si="11"/>
        <v>-1.2102262259550134E-4</v>
      </c>
      <c r="M74" s="4">
        <f t="shared" si="12"/>
        <v>-209556.09925703931</v>
      </c>
      <c r="N74" s="4">
        <f t="shared" si="13"/>
        <v>3868338.2105232524</v>
      </c>
      <c r="O74" s="149">
        <f t="shared" si="14"/>
        <v>453233.1099676193</v>
      </c>
      <c r="P74" s="149">
        <f t="shared" si="15"/>
        <v>782421.63794452697</v>
      </c>
      <c r="Q74" s="152">
        <f t="shared" si="16"/>
        <v>453233.1099676193</v>
      </c>
      <c r="R74" s="152">
        <f t="shared" si="17"/>
        <v>782421.63794452697</v>
      </c>
      <c r="S74" s="140">
        <f t="shared" si="18"/>
        <v>3738926.2751647392</v>
      </c>
      <c r="T74" s="134">
        <f t="shared" ref="T74:U74" si="50">I74*G30</f>
        <v>-94767.37934044002</v>
      </c>
      <c r="U74" s="134">
        <f t="shared" si="50"/>
        <v>-1779683.5625015995</v>
      </c>
      <c r="V74" s="134">
        <f t="shared" si="20"/>
        <v>-10257605.543766698</v>
      </c>
      <c r="W74" s="5">
        <f t="shared" si="21"/>
        <v>8633363.1343430988</v>
      </c>
      <c r="X74" s="140">
        <f t="shared" si="22"/>
        <v>4178997.8837348362</v>
      </c>
      <c r="Y74" s="141">
        <f t="shared" si="23"/>
        <v>54728544.858786471</v>
      </c>
      <c r="Z74" s="12">
        <f t="shared" si="24"/>
        <v>1.7364272429393235</v>
      </c>
      <c r="AA74" s="8">
        <f>(Y74 - MAX($Y$47:Y74))/Y74</f>
        <v>-0.36635325671900004</v>
      </c>
    </row>
    <row r="75" spans="1:27" x14ac:dyDescent="0.3">
      <c r="A75">
        <v>29</v>
      </c>
      <c r="B75" s="4">
        <f t="shared" si="1"/>
        <v>54728544.858786471</v>
      </c>
      <c r="C75" s="4">
        <f t="shared" si="2"/>
        <v>26246678.622899812</v>
      </c>
      <c r="D75" s="4">
        <f t="shared" si="3"/>
        <v>28481866.235886659</v>
      </c>
      <c r="E75" s="8">
        <f t="shared" si="4"/>
        <v>0.47957932538902504</v>
      </c>
      <c r="F75" s="8">
        <f t="shared" si="5"/>
        <v>0.52042067461097496</v>
      </c>
      <c r="G75" s="9">
        <f t="shared" si="6"/>
        <v>0.05</v>
      </c>
      <c r="H75" s="10">
        <f t="shared" si="7"/>
        <v>0.95</v>
      </c>
      <c r="I75" s="5">
        <f t="shared" si="8"/>
        <v>1312333.9311449907</v>
      </c>
      <c r="J75" s="7">
        <f t="shared" si="9"/>
        <v>24934344.691754822</v>
      </c>
      <c r="K75" s="8">
        <f t="shared" si="10"/>
        <v>-1.0035167427936975E-2</v>
      </c>
      <c r="L75" s="8">
        <f t="shared" si="11"/>
        <v>1.0035167427936864E-2</v>
      </c>
      <c r="M75" s="4">
        <f t="shared" si="12"/>
        <v>1175512.5689980246</v>
      </c>
      <c r="N75" s="4">
        <f t="shared" si="13"/>
        <v>22334738.810962465</v>
      </c>
      <c r="O75" s="149">
        <f t="shared" si="14"/>
        <v>342003.21174727916</v>
      </c>
      <c r="P75" s="149">
        <f t="shared" si="15"/>
        <v>967452.57404008834</v>
      </c>
      <c r="Q75" s="152">
        <f t="shared" si="16"/>
        <v>569137.12742017594</v>
      </c>
      <c r="R75" s="152">
        <f t="shared" si="17"/>
        <v>3065.5413675600084</v>
      </c>
      <c r="S75" s="140">
        <f t="shared" si="18"/>
        <v>2736427.2429393237</v>
      </c>
      <c r="T75" s="134">
        <f t="shared" ref="T75:U75" si="51">I75*G31</f>
        <v>342003.21174727904</v>
      </c>
      <c r="U75" s="134">
        <f t="shared" si="51"/>
        <v>967452.57404008706</v>
      </c>
      <c r="V75" s="134">
        <f t="shared" si="20"/>
        <v>8604371.7898613606</v>
      </c>
      <c r="W75" s="5">
        <f t="shared" si="21"/>
        <v>27556134.408687178</v>
      </c>
      <c r="X75" s="140">
        <f t="shared" si="22"/>
        <v>85830.400318160391</v>
      </c>
      <c r="Y75" s="141">
        <f t="shared" si="23"/>
        <v>61820114.791177712</v>
      </c>
      <c r="Z75" s="12">
        <f t="shared" si="24"/>
        <v>2.0910057395588857</v>
      </c>
      <c r="AA75" s="8">
        <f>(Y75 - MAX($Y$47:Y75))/Y75</f>
        <v>-0.20961479537670399</v>
      </c>
    </row>
    <row r="76" spans="1:27" x14ac:dyDescent="0.3">
      <c r="A76">
        <v>30</v>
      </c>
      <c r="B76" s="4">
        <f t="shared" si="1"/>
        <v>61820114.791177712</v>
      </c>
      <c r="C76" s="4">
        <f t="shared" si="2"/>
        <v>24733876.765429698</v>
      </c>
      <c r="D76" s="4">
        <f t="shared" si="3"/>
        <v>37086238.025748022</v>
      </c>
      <c r="E76" s="8">
        <f t="shared" si="4"/>
        <v>0.40009431960743375</v>
      </c>
      <c r="F76" s="8">
        <f t="shared" si="5"/>
        <v>0.59990568039256642</v>
      </c>
      <c r="G76" s="9">
        <f t="shared" si="6"/>
        <v>0.05</v>
      </c>
      <c r="H76" s="10">
        <f t="shared" si="7"/>
        <v>0.95</v>
      </c>
      <c r="I76" s="5">
        <f t="shared" si="8"/>
        <v>1236693.8382714849</v>
      </c>
      <c r="J76" s="7">
        <f t="shared" si="9"/>
        <v>23497182.92715821</v>
      </c>
      <c r="K76" s="8">
        <f t="shared" si="10"/>
        <v>-1.2634343071269177E-2</v>
      </c>
      <c r="L76" s="8">
        <f t="shared" si="11"/>
        <v>1.2634343071269205E-2</v>
      </c>
      <c r="M76" s="4">
        <f t="shared" si="12"/>
        <v>723925.70039387979</v>
      </c>
      <c r="N76" s="4">
        <f t="shared" si="13"/>
        <v>19710779.642918456</v>
      </c>
      <c r="O76" s="149">
        <f t="shared" si="14"/>
        <v>665890.10343084449</v>
      </c>
      <c r="P76" s="149">
        <f t="shared" si="15"/>
        <v>465256.61845521117</v>
      </c>
      <c r="Q76" s="152">
        <f t="shared" si="16"/>
        <v>1341173.5893623272</v>
      </c>
      <c r="R76" s="152">
        <f t="shared" si="17"/>
        <v>315.25946688735155</v>
      </c>
      <c r="S76" s="140">
        <f t="shared" si="18"/>
        <v>3091005.7395588858</v>
      </c>
      <c r="T76" s="134">
        <f t="shared" ref="T76:U76" si="52">I76*G32</f>
        <v>307672.25253118371</v>
      </c>
      <c r="U76" s="134">
        <f t="shared" si="52"/>
        <v>-384691.21320360218</v>
      </c>
      <c r="V76" s="134">
        <f t="shared" si="20"/>
        <v>5451676.9897849588</v>
      </c>
      <c r="W76" s="5">
        <f t="shared" si="21"/>
        <v>24656857.804757278</v>
      </c>
      <c r="X76" s="140">
        <f t="shared" si="22"/>
        <v>201223.3273243822</v>
      </c>
      <c r="Y76" s="141">
        <f t="shared" si="23"/>
        <v>63902543.753406987</v>
      </c>
      <c r="Z76" s="12">
        <f t="shared" si="24"/>
        <v>2.1951271876703493</v>
      </c>
      <c r="AA76" s="8">
        <f>(Y76 - MAX($Y$47:Y76))/Y76</f>
        <v>-0.17019638203851528</v>
      </c>
    </row>
  </sheetData>
  <mergeCells count="4">
    <mergeCell ref="E1:H1"/>
    <mergeCell ref="J1:M1"/>
    <mergeCell ref="A22:B22"/>
    <mergeCell ref="A1:C1"/>
  </mergeCells>
  <dataValidations count="1">
    <dataValidation type="list" allowBlank="1" showInputMessage="1" showErrorMessage="1" sqref="B24" xr:uid="{E6B55832-7245-45D8-A482-4750CA71C7D8}">
      <formula1>$K$2:$M$2</formula1>
    </dataValidation>
  </dataValidations>
  <pageMargins left="0.511811024" right="0.511811024" top="0.78740157499999996" bottom="0.78740157499999996" header="0.31496062000000002" footer="0.31496062000000002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Capa</vt:lpstr>
      <vt:lpstr>1. Dados Históricos</vt:lpstr>
      <vt:lpstr>2. Calculo de Herança</vt:lpstr>
      <vt:lpstr>3. Backtest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Hokama</dc:creator>
  <cp:lastModifiedBy>GUSTAVO BIANCHI DA SILVA</cp:lastModifiedBy>
  <dcterms:created xsi:type="dcterms:W3CDTF">2025-09-16T18:53:52Z</dcterms:created>
  <dcterms:modified xsi:type="dcterms:W3CDTF">2025-11-03T01:25:04Z</dcterms:modified>
</cp:coreProperties>
</file>